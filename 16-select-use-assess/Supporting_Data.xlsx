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nnah.whisnant\Downloads\"/>
    </mc:Choice>
  </mc:AlternateContent>
  <xr:revisionPtr revIDLastSave="0" documentId="13_ncr:1_{A40928ED-4BA7-43CE-AA46-ED2476D93FCE}" xr6:coauthVersionLast="47" xr6:coauthVersionMax="47" xr10:uidLastSave="{00000000-0000-0000-0000-000000000000}"/>
  <bookViews>
    <workbookView xWindow="-110" yWindow="-110" windowWidth="19420" windowHeight="11500" tabRatio="500" firstSheet="3" activeTab="4" xr2:uid="{00000000-000D-0000-FFFF-FFFF00000000}"/>
  </bookViews>
  <sheets>
    <sheet name="Training Data" sheetId="1" r:id="rId1"/>
    <sheet name="Test Data" sheetId="2" r:id="rId2"/>
    <sheet name="Extension Data" sheetId="3" r:id="rId3"/>
    <sheet name="Quadratic Fit" sheetId="4" r:id="rId4"/>
    <sheet name="Polynomial Fit" sheetId="5" r:id="rId5"/>
    <sheet name="Exponential Fit" sheetId="6" r:id="rId6"/>
    <sheet name="Sinusoidal Fit" sheetId="7" r:id="rId7"/>
    <sheet name="Model Comparison" sheetId="8" r:id="rId8"/>
    <sheet name="Instructor 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2" i="8" l="1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D71" i="7"/>
  <c r="B71" i="7"/>
  <c r="A71" i="7"/>
  <c r="C71" i="7" s="1"/>
  <c r="D70" i="7"/>
  <c r="C70" i="7"/>
  <c r="A70" i="7"/>
  <c r="B70" i="7" s="1"/>
  <c r="D69" i="7"/>
  <c r="B69" i="7"/>
  <c r="A69" i="7"/>
  <c r="C69" i="7" s="1"/>
  <c r="D68" i="7"/>
  <c r="A68" i="7"/>
  <c r="B68" i="7" s="1"/>
  <c r="D67" i="7"/>
  <c r="B67" i="7"/>
  <c r="A67" i="7"/>
  <c r="C67" i="7" s="1"/>
  <c r="D66" i="7"/>
  <c r="A66" i="7"/>
  <c r="B66" i="7" s="1"/>
  <c r="D65" i="7"/>
  <c r="B65" i="7"/>
  <c r="A65" i="7"/>
  <c r="C65" i="7" s="1"/>
  <c r="D64" i="7"/>
  <c r="A64" i="7"/>
  <c r="D63" i="7"/>
  <c r="B63" i="7"/>
  <c r="A63" i="7"/>
  <c r="C63" i="7" s="1"/>
  <c r="D62" i="7"/>
  <c r="C62" i="7"/>
  <c r="A62" i="7"/>
  <c r="B62" i="7" s="1"/>
  <c r="D61" i="7"/>
  <c r="B61" i="7"/>
  <c r="A61" i="7"/>
  <c r="C61" i="7" s="1"/>
  <c r="D60" i="7"/>
  <c r="C60" i="7"/>
  <c r="A60" i="7"/>
  <c r="B60" i="7" s="1"/>
  <c r="D59" i="7"/>
  <c r="B59" i="7"/>
  <c r="A59" i="7"/>
  <c r="C59" i="7" s="1"/>
  <c r="D58" i="7"/>
  <c r="C58" i="7"/>
  <c r="A58" i="7"/>
  <c r="B58" i="7" s="1"/>
  <c r="D57" i="7"/>
  <c r="B57" i="7"/>
  <c r="A57" i="7"/>
  <c r="C57" i="7" s="1"/>
  <c r="D56" i="7"/>
  <c r="A56" i="7"/>
  <c r="B56" i="7" s="1"/>
  <c r="D55" i="7"/>
  <c r="B55" i="7"/>
  <c r="A55" i="7"/>
  <c r="C55" i="7" s="1"/>
  <c r="D54" i="7"/>
  <c r="A54" i="7"/>
  <c r="D53" i="7"/>
  <c r="B53" i="7"/>
  <c r="A53" i="7"/>
  <c r="C53" i="7" s="1"/>
  <c r="D52" i="7"/>
  <c r="A52" i="7"/>
  <c r="B52" i="7" s="1"/>
  <c r="D51" i="7"/>
  <c r="B51" i="7"/>
  <c r="A51" i="7"/>
  <c r="C51" i="7" s="1"/>
  <c r="D50" i="7"/>
  <c r="C50" i="7"/>
  <c r="A50" i="7"/>
  <c r="B50" i="7" s="1"/>
  <c r="D49" i="7"/>
  <c r="B49" i="7"/>
  <c r="A49" i="7"/>
  <c r="C49" i="7" s="1"/>
  <c r="D48" i="7"/>
  <c r="A48" i="7"/>
  <c r="B48" i="7" s="1"/>
  <c r="D47" i="7"/>
  <c r="B47" i="7"/>
  <c r="A47" i="7"/>
  <c r="C47" i="7" s="1"/>
  <c r="D46" i="7"/>
  <c r="A46" i="7"/>
  <c r="B46" i="7" s="1"/>
  <c r="D45" i="7"/>
  <c r="B45" i="7"/>
  <c r="A45" i="7"/>
  <c r="C45" i="7" s="1"/>
  <c r="D44" i="7"/>
  <c r="A44" i="7"/>
  <c r="B44" i="7" s="1"/>
  <c r="D43" i="7"/>
  <c r="B43" i="7"/>
  <c r="A43" i="7"/>
  <c r="C43" i="7" s="1"/>
  <c r="D42" i="7"/>
  <c r="C42" i="7"/>
  <c r="A42" i="7"/>
  <c r="B42" i="7" s="1"/>
  <c r="D41" i="7"/>
  <c r="B41" i="7"/>
  <c r="A41" i="7"/>
  <c r="C41" i="7" s="1"/>
  <c r="D40" i="7"/>
  <c r="A40" i="7"/>
  <c r="B40" i="7" s="1"/>
  <c r="D39" i="7"/>
  <c r="B39" i="7"/>
  <c r="A39" i="7"/>
  <c r="C39" i="7" s="1"/>
  <c r="D38" i="7"/>
  <c r="A38" i="7"/>
  <c r="D37" i="7"/>
  <c r="B37" i="7"/>
  <c r="A37" i="7"/>
  <c r="C37" i="7" s="1"/>
  <c r="D36" i="7"/>
  <c r="A36" i="7"/>
  <c r="D32" i="7"/>
  <c r="B32" i="7"/>
  <c r="A32" i="7"/>
  <c r="C32" i="7" s="1"/>
  <c r="D31" i="7"/>
  <c r="C31" i="7"/>
  <c r="A31" i="7"/>
  <c r="B31" i="7" s="1"/>
  <c r="D30" i="7"/>
  <c r="B30" i="7"/>
  <c r="A30" i="7"/>
  <c r="C30" i="7" s="1"/>
  <c r="D29" i="7"/>
  <c r="C29" i="7"/>
  <c r="A29" i="7"/>
  <c r="B29" i="7" s="1"/>
  <c r="D28" i="7"/>
  <c r="B28" i="7"/>
  <c r="A28" i="7"/>
  <c r="C28" i="7" s="1"/>
  <c r="D27" i="7"/>
  <c r="C27" i="7"/>
  <c r="A27" i="7"/>
  <c r="B27" i="7" s="1"/>
  <c r="D23" i="7"/>
  <c r="B23" i="7"/>
  <c r="A23" i="7"/>
  <c r="C23" i="7" s="1"/>
  <c r="D22" i="7"/>
  <c r="A22" i="7"/>
  <c r="B22" i="7" s="1"/>
  <c r="D21" i="7"/>
  <c r="B21" i="7"/>
  <c r="A21" i="7"/>
  <c r="C21" i="7" s="1"/>
  <c r="D20" i="7"/>
  <c r="A20" i="7"/>
  <c r="D19" i="7"/>
  <c r="B19" i="7"/>
  <c r="A19" i="7"/>
  <c r="C19" i="7" s="1"/>
  <c r="D18" i="7"/>
  <c r="A18" i="7"/>
  <c r="B18" i="7" s="1"/>
  <c r="D17" i="7"/>
  <c r="B17" i="7"/>
  <c r="A17" i="7"/>
  <c r="C17" i="7" s="1"/>
  <c r="D16" i="7"/>
  <c r="C16" i="7"/>
  <c r="A16" i="7"/>
  <c r="B16" i="7" s="1"/>
  <c r="D15" i="7"/>
  <c r="B15" i="7"/>
  <c r="A15" i="7"/>
  <c r="C15" i="7" s="1"/>
  <c r="D14" i="7"/>
  <c r="A14" i="7"/>
  <c r="B14" i="7" s="1"/>
  <c r="D13" i="7"/>
  <c r="B13" i="7"/>
  <c r="A13" i="7"/>
  <c r="C13" i="7" s="1"/>
  <c r="D12" i="7"/>
  <c r="A12" i="7"/>
  <c r="B12" i="7" s="1"/>
  <c r="D11" i="7"/>
  <c r="B11" i="7"/>
  <c r="A11" i="7"/>
  <c r="C11" i="7" s="1"/>
  <c r="D10" i="7"/>
  <c r="A10" i="7"/>
  <c r="D9" i="7"/>
  <c r="B9" i="7"/>
  <c r="A9" i="7"/>
  <c r="C9" i="7" s="1"/>
  <c r="D8" i="7"/>
  <c r="C8" i="7"/>
  <c r="A8" i="7"/>
  <c r="B8" i="7" s="1"/>
  <c r="D7" i="7"/>
  <c r="B7" i="7"/>
  <c r="A7" i="7"/>
  <c r="C7" i="7" s="1"/>
  <c r="D6" i="7"/>
  <c r="A6" i="7"/>
  <c r="B6" i="7" s="1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2" i="6"/>
  <c r="A32" i="6"/>
  <c r="B31" i="6"/>
  <c r="A31" i="6"/>
  <c r="B30" i="6"/>
  <c r="A30" i="6"/>
  <c r="B29" i="6"/>
  <c r="A29" i="6"/>
  <c r="B28" i="6"/>
  <c r="A28" i="6"/>
  <c r="B27" i="6"/>
  <c r="A27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I71" i="5"/>
  <c r="A71" i="5"/>
  <c r="I70" i="5"/>
  <c r="A70" i="5"/>
  <c r="I69" i="5"/>
  <c r="A69" i="5"/>
  <c r="I68" i="5"/>
  <c r="D68" i="5"/>
  <c r="C68" i="5"/>
  <c r="A68" i="5"/>
  <c r="I67" i="5"/>
  <c r="G67" i="5"/>
  <c r="E67" i="5"/>
  <c r="C67" i="5"/>
  <c r="B67" i="5"/>
  <c r="A67" i="5"/>
  <c r="I66" i="5"/>
  <c r="G66" i="5"/>
  <c r="E66" i="5"/>
  <c r="A66" i="5"/>
  <c r="I65" i="5"/>
  <c r="G65" i="5"/>
  <c r="F65" i="5"/>
  <c r="E65" i="5"/>
  <c r="A65" i="5"/>
  <c r="I64" i="5"/>
  <c r="A64" i="5"/>
  <c r="I63" i="5"/>
  <c r="H63" i="5"/>
  <c r="G63" i="5"/>
  <c r="C63" i="5"/>
  <c r="A63" i="5"/>
  <c r="I62" i="5"/>
  <c r="C62" i="5"/>
  <c r="A62" i="5"/>
  <c r="I61" i="5"/>
  <c r="A61" i="5"/>
  <c r="I60" i="5"/>
  <c r="A60" i="5"/>
  <c r="E60" i="5" s="1"/>
  <c r="I59" i="5"/>
  <c r="H59" i="5"/>
  <c r="C59" i="5"/>
  <c r="A59" i="5"/>
  <c r="I58" i="5"/>
  <c r="G58" i="5"/>
  <c r="F58" i="5"/>
  <c r="C58" i="5"/>
  <c r="A58" i="5"/>
  <c r="I57" i="5"/>
  <c r="D57" i="5"/>
  <c r="A57" i="5"/>
  <c r="I56" i="5"/>
  <c r="A56" i="5"/>
  <c r="H56" i="5" s="1"/>
  <c r="I55" i="5"/>
  <c r="G55" i="5"/>
  <c r="F55" i="5"/>
  <c r="C55" i="5"/>
  <c r="A55" i="5"/>
  <c r="I54" i="5"/>
  <c r="G54" i="5"/>
  <c r="E54" i="5"/>
  <c r="C54" i="5"/>
  <c r="A54" i="5"/>
  <c r="I53" i="5"/>
  <c r="B53" i="5"/>
  <c r="A53" i="5"/>
  <c r="I52" i="5"/>
  <c r="H52" i="5"/>
  <c r="E52" i="5"/>
  <c r="A52" i="5"/>
  <c r="I51" i="5"/>
  <c r="E51" i="5"/>
  <c r="C51" i="5"/>
  <c r="A51" i="5"/>
  <c r="I50" i="5"/>
  <c r="G50" i="5"/>
  <c r="A50" i="5"/>
  <c r="I49" i="5"/>
  <c r="A49" i="5"/>
  <c r="I48" i="5"/>
  <c r="E48" i="5"/>
  <c r="C48" i="5"/>
  <c r="A48" i="5"/>
  <c r="I47" i="5"/>
  <c r="G47" i="5"/>
  <c r="E47" i="5"/>
  <c r="D47" i="5"/>
  <c r="C47" i="5"/>
  <c r="A47" i="5"/>
  <c r="I46" i="5"/>
  <c r="G46" i="5"/>
  <c r="E46" i="5"/>
  <c r="B46" i="5"/>
  <c r="A46" i="5"/>
  <c r="I45" i="5"/>
  <c r="H45" i="5"/>
  <c r="G45" i="5"/>
  <c r="E45" i="5"/>
  <c r="B45" i="5"/>
  <c r="A45" i="5"/>
  <c r="I44" i="5"/>
  <c r="A44" i="5"/>
  <c r="I43" i="5"/>
  <c r="B43" i="5"/>
  <c r="A43" i="5"/>
  <c r="I42" i="5"/>
  <c r="H42" i="5"/>
  <c r="E42" i="5"/>
  <c r="D42" i="5"/>
  <c r="B42" i="5"/>
  <c r="A42" i="5"/>
  <c r="G42" i="5" s="1"/>
  <c r="I41" i="5"/>
  <c r="A41" i="5"/>
  <c r="I40" i="5"/>
  <c r="G40" i="5"/>
  <c r="F40" i="5"/>
  <c r="E40" i="5"/>
  <c r="D40" i="5"/>
  <c r="B40" i="5"/>
  <c r="A40" i="5"/>
  <c r="H40" i="5" s="1"/>
  <c r="I39" i="5"/>
  <c r="E39" i="5"/>
  <c r="D39" i="5"/>
  <c r="B39" i="5"/>
  <c r="A39" i="5"/>
  <c r="I38" i="5"/>
  <c r="A38" i="5"/>
  <c r="I37" i="5"/>
  <c r="H37" i="5"/>
  <c r="G37" i="5"/>
  <c r="E37" i="5"/>
  <c r="D37" i="5"/>
  <c r="A37" i="5"/>
  <c r="I36" i="5"/>
  <c r="G36" i="5"/>
  <c r="D36" i="5"/>
  <c r="B36" i="5"/>
  <c r="A36" i="5"/>
  <c r="I32" i="5"/>
  <c r="H32" i="5"/>
  <c r="G32" i="5"/>
  <c r="E32" i="5"/>
  <c r="B32" i="5"/>
  <c r="A32" i="5"/>
  <c r="C32" i="5" s="1"/>
  <c r="I31" i="5"/>
  <c r="H31" i="5"/>
  <c r="G31" i="5"/>
  <c r="F31" i="5"/>
  <c r="E31" i="5"/>
  <c r="D31" i="5"/>
  <c r="C31" i="5"/>
  <c r="B31" i="5"/>
  <c r="A31" i="5"/>
  <c r="I30" i="5"/>
  <c r="E30" i="5"/>
  <c r="D30" i="5"/>
  <c r="B30" i="5"/>
  <c r="A30" i="5"/>
  <c r="G30" i="5" s="1"/>
  <c r="I29" i="5"/>
  <c r="B29" i="5"/>
  <c r="A29" i="5"/>
  <c r="I28" i="5"/>
  <c r="H28" i="5"/>
  <c r="G28" i="5"/>
  <c r="E28" i="5"/>
  <c r="B28" i="5"/>
  <c r="A28" i="5"/>
  <c r="I27" i="5"/>
  <c r="H27" i="5"/>
  <c r="F27" i="5"/>
  <c r="E27" i="5"/>
  <c r="C27" i="5"/>
  <c r="B27" i="5"/>
  <c r="A27" i="5"/>
  <c r="G27" i="5" s="1"/>
  <c r="I23" i="5"/>
  <c r="A23" i="5"/>
  <c r="H23" i="5" s="1"/>
  <c r="I22" i="5"/>
  <c r="H22" i="5"/>
  <c r="G22" i="5"/>
  <c r="B22" i="5"/>
  <c r="A22" i="5"/>
  <c r="C22" i="5" s="1"/>
  <c r="I21" i="5"/>
  <c r="H21" i="5"/>
  <c r="G21" i="5"/>
  <c r="F21" i="5"/>
  <c r="E21" i="5"/>
  <c r="D21" i="5"/>
  <c r="C21" i="5"/>
  <c r="B21" i="5"/>
  <c r="A21" i="5"/>
  <c r="I20" i="5"/>
  <c r="E20" i="5"/>
  <c r="D20" i="5"/>
  <c r="B20" i="5"/>
  <c r="A20" i="5"/>
  <c r="G20" i="5" s="1"/>
  <c r="I19" i="5"/>
  <c r="B19" i="5"/>
  <c r="A19" i="5"/>
  <c r="I18" i="5"/>
  <c r="H18" i="5"/>
  <c r="G18" i="5"/>
  <c r="E18" i="5"/>
  <c r="A18" i="5"/>
  <c r="I17" i="5"/>
  <c r="H17" i="5"/>
  <c r="F17" i="5"/>
  <c r="E17" i="5"/>
  <c r="C17" i="5"/>
  <c r="B17" i="5"/>
  <c r="A17" i="5"/>
  <c r="G17" i="5" s="1"/>
  <c r="I16" i="5"/>
  <c r="A16" i="5"/>
  <c r="H16" i="5" s="1"/>
  <c r="I15" i="5"/>
  <c r="H15" i="5"/>
  <c r="G15" i="5"/>
  <c r="B15" i="5"/>
  <c r="A15" i="5"/>
  <c r="C15" i="5" s="1"/>
  <c r="I14" i="5"/>
  <c r="H14" i="5"/>
  <c r="G14" i="5"/>
  <c r="F14" i="5"/>
  <c r="E14" i="5"/>
  <c r="D14" i="5"/>
  <c r="C14" i="5"/>
  <c r="B14" i="5"/>
  <c r="A14" i="5"/>
  <c r="I13" i="5"/>
  <c r="H13" i="5"/>
  <c r="E13" i="5"/>
  <c r="D13" i="5"/>
  <c r="B13" i="5"/>
  <c r="A13" i="5"/>
  <c r="G13" i="5" s="1"/>
  <c r="I12" i="5"/>
  <c r="B12" i="5"/>
  <c r="A12" i="5"/>
  <c r="I11" i="5"/>
  <c r="H11" i="5"/>
  <c r="G11" i="5"/>
  <c r="E11" i="5"/>
  <c r="A11" i="5"/>
  <c r="I10" i="5"/>
  <c r="H10" i="5"/>
  <c r="F10" i="5"/>
  <c r="E10" i="5"/>
  <c r="C10" i="5"/>
  <c r="B10" i="5"/>
  <c r="A10" i="5"/>
  <c r="G10" i="5" s="1"/>
  <c r="I9" i="5"/>
  <c r="A9" i="5"/>
  <c r="H9" i="5" s="1"/>
  <c r="I8" i="5"/>
  <c r="H8" i="5"/>
  <c r="G8" i="5"/>
  <c r="B8" i="5"/>
  <c r="A8" i="5"/>
  <c r="C8" i="5" s="1"/>
  <c r="I7" i="5"/>
  <c r="H7" i="5"/>
  <c r="G7" i="5"/>
  <c r="F7" i="5"/>
  <c r="E7" i="5"/>
  <c r="D7" i="5"/>
  <c r="C7" i="5"/>
  <c r="B7" i="5"/>
  <c r="A7" i="5"/>
  <c r="I6" i="5"/>
  <c r="D6" i="5"/>
  <c r="B6" i="5"/>
  <c r="A6" i="5"/>
  <c r="G6" i="5" s="1"/>
  <c r="C71" i="4"/>
  <c r="A71" i="4"/>
  <c r="B71" i="4" s="1"/>
  <c r="C70" i="4"/>
  <c r="A70" i="4"/>
  <c r="B70" i="4" s="1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A65" i="4"/>
  <c r="B65" i="4" s="1"/>
  <c r="C64" i="4"/>
  <c r="A64" i="4"/>
  <c r="B64" i="4" s="1"/>
  <c r="C63" i="4"/>
  <c r="A63" i="4"/>
  <c r="B63" i="4" s="1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A58" i="4"/>
  <c r="B58" i="4" s="1"/>
  <c r="C57" i="4"/>
  <c r="A57" i="4"/>
  <c r="B57" i="4" s="1"/>
  <c r="C56" i="4"/>
  <c r="A56" i="4"/>
  <c r="B56" i="4" s="1"/>
  <c r="C55" i="4"/>
  <c r="A55" i="4"/>
  <c r="B55" i="4" s="1"/>
  <c r="C54" i="4"/>
  <c r="B54" i="4"/>
  <c r="A54" i="4"/>
  <c r="C53" i="4"/>
  <c r="B53" i="4"/>
  <c r="A53" i="4"/>
  <c r="C52" i="4"/>
  <c r="B52" i="4"/>
  <c r="A52" i="4"/>
  <c r="C51" i="4"/>
  <c r="A51" i="4"/>
  <c r="B51" i="4" s="1"/>
  <c r="C50" i="4"/>
  <c r="A50" i="4"/>
  <c r="B50" i="4" s="1"/>
  <c r="C49" i="4"/>
  <c r="A49" i="4"/>
  <c r="B49" i="4" s="1"/>
  <c r="C48" i="4"/>
  <c r="A48" i="4"/>
  <c r="B48" i="4" s="1"/>
  <c r="C47" i="4"/>
  <c r="A47" i="4"/>
  <c r="B47" i="4" s="1"/>
  <c r="C46" i="4"/>
  <c r="B46" i="4"/>
  <c r="A46" i="4"/>
  <c r="C45" i="4"/>
  <c r="B45" i="4"/>
  <c r="A45" i="4"/>
  <c r="C44" i="4"/>
  <c r="A44" i="4"/>
  <c r="B44" i="4" s="1"/>
  <c r="C43" i="4"/>
  <c r="A43" i="4"/>
  <c r="B43" i="4" s="1"/>
  <c r="C42" i="4"/>
  <c r="B42" i="4"/>
  <c r="A42" i="4"/>
  <c r="C41" i="4"/>
  <c r="A41" i="4"/>
  <c r="B41" i="4" s="1"/>
  <c r="C40" i="4"/>
  <c r="A40" i="4"/>
  <c r="B40" i="4" s="1"/>
  <c r="C39" i="4"/>
  <c r="B39" i="4"/>
  <c r="A39" i="4"/>
  <c r="C38" i="4"/>
  <c r="B38" i="4"/>
  <c r="A38" i="4"/>
  <c r="C37" i="4"/>
  <c r="B37" i="4"/>
  <c r="A37" i="4"/>
  <c r="C36" i="4"/>
  <c r="A36" i="4"/>
  <c r="B36" i="4" s="1"/>
  <c r="C32" i="4"/>
  <c r="B32" i="4"/>
  <c r="A32" i="4"/>
  <c r="C31" i="4"/>
  <c r="A31" i="4"/>
  <c r="B31" i="4" s="1"/>
  <c r="C30" i="4"/>
  <c r="A30" i="4"/>
  <c r="B30" i="4" s="1"/>
  <c r="C29" i="4"/>
  <c r="B29" i="4"/>
  <c r="A29" i="4"/>
  <c r="C28" i="4"/>
  <c r="B28" i="4"/>
  <c r="A28" i="4"/>
  <c r="C27" i="4"/>
  <c r="B27" i="4"/>
  <c r="A27" i="4"/>
  <c r="C23" i="4"/>
  <c r="A23" i="4"/>
  <c r="B23" i="4" s="1"/>
  <c r="C22" i="4"/>
  <c r="A22" i="4"/>
  <c r="B22" i="4" s="1"/>
  <c r="C21" i="4"/>
  <c r="A21" i="4"/>
  <c r="B21" i="4" s="1"/>
  <c r="C20" i="4"/>
  <c r="A20" i="4"/>
  <c r="B20" i="4" s="1"/>
  <c r="C19" i="4"/>
  <c r="B19" i="4"/>
  <c r="A19" i="4"/>
  <c r="C18" i="4"/>
  <c r="B18" i="4"/>
  <c r="A18" i="4"/>
  <c r="C17" i="4"/>
  <c r="A17" i="4"/>
  <c r="B17" i="4" s="1"/>
  <c r="C16" i="4"/>
  <c r="A16" i="4"/>
  <c r="B16" i="4" s="1"/>
  <c r="C15" i="4"/>
  <c r="A15" i="4"/>
  <c r="B15" i="4" s="1"/>
  <c r="C14" i="4"/>
  <c r="A14" i="4"/>
  <c r="B14" i="4" s="1"/>
  <c r="C13" i="4"/>
  <c r="A13" i="4"/>
  <c r="B13" i="4" s="1"/>
  <c r="C12" i="4"/>
  <c r="B12" i="4"/>
  <c r="A12" i="4"/>
  <c r="C11" i="4"/>
  <c r="B11" i="4"/>
  <c r="A11" i="4"/>
  <c r="C10" i="4"/>
  <c r="A10" i="4"/>
  <c r="B10" i="4" s="1"/>
  <c r="C9" i="4"/>
  <c r="A9" i="4"/>
  <c r="B9" i="4" s="1"/>
  <c r="C8" i="4"/>
  <c r="A8" i="4"/>
  <c r="B8" i="4" s="1"/>
  <c r="C7" i="4"/>
  <c r="B7" i="4"/>
  <c r="A7" i="4"/>
  <c r="C6" i="4"/>
  <c r="A6" i="4"/>
  <c r="B6" i="4" s="1"/>
  <c r="H3" i="4" l="1" a="1"/>
  <c r="H71" i="5"/>
  <c r="F71" i="5"/>
  <c r="B71" i="5"/>
  <c r="E71" i="5"/>
  <c r="B44" i="5"/>
  <c r="G44" i="5"/>
  <c r="B60" i="5"/>
  <c r="C71" i="5"/>
  <c r="F39" i="5"/>
  <c r="G39" i="5"/>
  <c r="C44" i="5"/>
  <c r="F53" i="5"/>
  <c r="D53" i="5"/>
  <c r="H53" i="5"/>
  <c r="G53" i="5"/>
  <c r="C53" i="5"/>
  <c r="B58" i="5"/>
  <c r="H58" i="5"/>
  <c r="D58" i="5"/>
  <c r="C60" i="5"/>
  <c r="D71" i="5"/>
  <c r="D44" i="5"/>
  <c r="G71" i="5"/>
  <c r="F60" i="5"/>
  <c r="D60" i="5"/>
  <c r="H60" i="5"/>
  <c r="G60" i="5"/>
  <c r="B36" i="7"/>
  <c r="C36" i="7"/>
  <c r="B64" i="7"/>
  <c r="C64" i="7"/>
  <c r="C6" i="5"/>
  <c r="C13" i="5"/>
  <c r="C20" i="5"/>
  <c r="C30" i="5"/>
  <c r="F36" i="5"/>
  <c r="C36" i="5"/>
  <c r="C39" i="5"/>
  <c r="E44" i="5"/>
  <c r="B51" i="5"/>
  <c r="H51" i="5"/>
  <c r="D51" i="5"/>
  <c r="F51" i="5"/>
  <c r="E53" i="5"/>
  <c r="E58" i="5"/>
  <c r="D66" i="5"/>
  <c r="B66" i="5"/>
  <c r="F66" i="5"/>
  <c r="H66" i="5"/>
  <c r="C66" i="5"/>
  <c r="F41" i="5"/>
  <c r="D41" i="5"/>
  <c r="C41" i="5"/>
  <c r="E6" i="5"/>
  <c r="C9" i="5"/>
  <c r="C16" i="5"/>
  <c r="C23" i="5"/>
  <c r="B41" i="5"/>
  <c r="H44" i="5"/>
  <c r="F49" i="5"/>
  <c r="D49" i="5"/>
  <c r="H49" i="5"/>
  <c r="C56" i="5"/>
  <c r="H61" i="5"/>
  <c r="F61" i="5"/>
  <c r="B61" i="5"/>
  <c r="G61" i="5"/>
  <c r="D61" i="5"/>
  <c r="C61" i="5"/>
  <c r="H69" i="5"/>
  <c r="D69" i="5"/>
  <c r="B69" i="5"/>
  <c r="G69" i="5"/>
  <c r="B10" i="7"/>
  <c r="H3" i="7" s="1" a="1"/>
  <c r="F6" i="5"/>
  <c r="D9" i="5"/>
  <c r="H12" i="5"/>
  <c r="E12" i="5"/>
  <c r="F13" i="5"/>
  <c r="D16" i="5"/>
  <c r="H19" i="5"/>
  <c r="E19" i="5"/>
  <c r="F20" i="5"/>
  <c r="D23" i="5"/>
  <c r="H29" i="5"/>
  <c r="E29" i="5"/>
  <c r="F30" i="5"/>
  <c r="E36" i="5"/>
  <c r="H39" i="5"/>
  <c r="E41" i="5"/>
  <c r="F43" i="5"/>
  <c r="D43" i="5"/>
  <c r="B49" i="5"/>
  <c r="G51" i="5"/>
  <c r="E56" i="5"/>
  <c r="E61" i="5"/>
  <c r="C69" i="5"/>
  <c r="C10" i="7"/>
  <c r="B38" i="7"/>
  <c r="C38" i="7"/>
  <c r="H6" i="5"/>
  <c r="F16" i="5"/>
  <c r="H20" i="5"/>
  <c r="F23" i="5"/>
  <c r="H30" i="5"/>
  <c r="D38" i="5"/>
  <c r="F38" i="5"/>
  <c r="C38" i="5"/>
  <c r="G41" i="5"/>
  <c r="C49" i="5"/>
  <c r="G56" i="5"/>
  <c r="H64" i="5"/>
  <c r="F64" i="5"/>
  <c r="B64" i="5"/>
  <c r="E64" i="5"/>
  <c r="C64" i="5"/>
  <c r="E69" i="5"/>
  <c r="B20" i="7"/>
  <c r="C20" i="7"/>
  <c r="G9" i="5"/>
  <c r="C12" i="5"/>
  <c r="G16" i="5"/>
  <c r="C19" i="5"/>
  <c r="G23" i="5"/>
  <c r="C29" i="5"/>
  <c r="H36" i="5"/>
  <c r="B38" i="5"/>
  <c r="H41" i="5"/>
  <c r="C43" i="5"/>
  <c r="E49" i="5"/>
  <c r="D59" i="5"/>
  <c r="B59" i="5"/>
  <c r="F59" i="5"/>
  <c r="G59" i="5"/>
  <c r="E59" i="5"/>
  <c r="D64" i="5"/>
  <c r="F69" i="5"/>
  <c r="D12" i="5"/>
  <c r="D19" i="5"/>
  <c r="D29" i="5"/>
  <c r="E38" i="5"/>
  <c r="E43" i="5"/>
  <c r="G49" i="5"/>
  <c r="G64" i="5"/>
  <c r="F56" i="5"/>
  <c r="D56" i="5"/>
  <c r="B56" i="5"/>
  <c r="D8" i="5"/>
  <c r="F11" i="5"/>
  <c r="C11" i="5"/>
  <c r="F12" i="5"/>
  <c r="D15" i="5"/>
  <c r="F18" i="5"/>
  <c r="C18" i="5"/>
  <c r="F19" i="5"/>
  <c r="D22" i="5"/>
  <c r="F28" i="5"/>
  <c r="C28" i="5"/>
  <c r="F29" i="5"/>
  <c r="D32" i="5"/>
  <c r="G38" i="5"/>
  <c r="G43" i="5"/>
  <c r="H57" i="5"/>
  <c r="F57" i="5"/>
  <c r="B57" i="5"/>
  <c r="G57" i="5"/>
  <c r="C57" i="5"/>
  <c r="H62" i="5"/>
  <c r="D62" i="5"/>
  <c r="B62" i="5"/>
  <c r="G62" i="5"/>
  <c r="E62" i="5"/>
  <c r="F70" i="5"/>
  <c r="D70" i="5"/>
  <c r="H70" i="5"/>
  <c r="G70" i="5"/>
  <c r="E70" i="5"/>
  <c r="C70" i="5"/>
  <c r="B70" i="5"/>
  <c r="C44" i="7"/>
  <c r="E8" i="5"/>
  <c r="B11" i="5"/>
  <c r="G12" i="5"/>
  <c r="E15" i="5"/>
  <c r="B18" i="5"/>
  <c r="G19" i="5"/>
  <c r="E22" i="5"/>
  <c r="G29" i="5"/>
  <c r="H38" i="5"/>
  <c r="H43" i="5"/>
  <c r="H50" i="5"/>
  <c r="F50" i="5"/>
  <c r="B50" i="5"/>
  <c r="E50" i="5"/>
  <c r="D50" i="5"/>
  <c r="B54" i="7"/>
  <c r="C54" i="7"/>
  <c r="E9" i="5"/>
  <c r="B9" i="5"/>
  <c r="N3" i="5" s="1" a="1"/>
  <c r="E16" i="5"/>
  <c r="B16" i="5"/>
  <c r="E23" i="5"/>
  <c r="B23" i="5"/>
  <c r="F44" i="5"/>
  <c r="F9" i="5"/>
  <c r="F8" i="5"/>
  <c r="D11" i="5"/>
  <c r="F15" i="5"/>
  <c r="D18" i="5"/>
  <c r="F22" i="5"/>
  <c r="D28" i="5"/>
  <c r="F32" i="5"/>
  <c r="B37" i="5"/>
  <c r="F37" i="5"/>
  <c r="C37" i="5"/>
  <c r="C50" i="5"/>
  <c r="E57" i="5"/>
  <c r="F62" i="5"/>
  <c r="C66" i="7"/>
  <c r="H3" i="6" a="1"/>
  <c r="F46" i="5"/>
  <c r="D46" i="5"/>
  <c r="H46" i="5"/>
  <c r="H55" i="5"/>
  <c r="D55" i="5"/>
  <c r="B55" i="5"/>
  <c r="C14" i="7"/>
  <c r="C48" i="7"/>
  <c r="C42" i="5"/>
  <c r="C46" i="5"/>
  <c r="H48" i="5"/>
  <c r="D48" i="5"/>
  <c r="B48" i="5"/>
  <c r="E55" i="5"/>
  <c r="H68" i="5"/>
  <c r="F68" i="5"/>
  <c r="B68" i="5"/>
  <c r="C18" i="7"/>
  <c r="C52" i="7"/>
  <c r="D10" i="5"/>
  <c r="D17" i="5"/>
  <c r="D27" i="5"/>
  <c r="F42" i="5"/>
  <c r="F48" i="5"/>
  <c r="D52" i="5"/>
  <c r="B52" i="5"/>
  <c r="F52" i="5"/>
  <c r="F63" i="5"/>
  <c r="D63" i="5"/>
  <c r="E68" i="5"/>
  <c r="C12" i="7"/>
  <c r="C46" i="7"/>
  <c r="D45" i="5"/>
  <c r="F45" i="5"/>
  <c r="G48" i="5"/>
  <c r="C52" i="5"/>
  <c r="H54" i="5"/>
  <c r="F54" i="5"/>
  <c r="B54" i="5"/>
  <c r="B63" i="5"/>
  <c r="G68" i="5"/>
  <c r="C6" i="7"/>
  <c r="C40" i="7"/>
  <c r="C68" i="7"/>
  <c r="B65" i="5"/>
  <c r="H65" i="5"/>
  <c r="D65" i="5"/>
  <c r="C40" i="5"/>
  <c r="C45" i="5"/>
  <c r="H47" i="5"/>
  <c r="F47" i="5"/>
  <c r="B47" i="5"/>
  <c r="G52" i="5"/>
  <c r="D54" i="5"/>
  <c r="E63" i="5"/>
  <c r="C65" i="5"/>
  <c r="F67" i="5"/>
  <c r="D67" i="5"/>
  <c r="H67" i="5"/>
  <c r="C22" i="7"/>
  <c r="C56" i="7"/>
  <c r="U3" i="5" l="1"/>
  <c r="R3" i="5"/>
  <c r="O3" i="5"/>
  <c r="S3" i="5"/>
  <c r="Q3" i="5"/>
  <c r="P3" i="5"/>
  <c r="T3" i="5"/>
  <c r="N3" i="5"/>
  <c r="V3" i="5"/>
  <c r="K3" i="7"/>
  <c r="I3" i="7"/>
  <c r="H3" i="7"/>
  <c r="J3" i="7"/>
  <c r="J3" i="4"/>
  <c r="I3" i="4"/>
  <c r="H3" i="4"/>
  <c r="I3" i="6"/>
  <c r="H3" i="6"/>
  <c r="J69" i="5" l="1"/>
  <c r="K69" i="5" s="1"/>
  <c r="L69" i="5" s="1"/>
  <c r="J62" i="5"/>
  <c r="K62" i="5" s="1"/>
  <c r="L62" i="5" s="1"/>
  <c r="J55" i="5"/>
  <c r="K55" i="5" s="1"/>
  <c r="L55" i="5" s="1"/>
  <c r="J48" i="5"/>
  <c r="K48" i="5" s="1"/>
  <c r="L48" i="5" s="1"/>
  <c r="J41" i="5"/>
  <c r="K41" i="5" s="1"/>
  <c r="L41" i="5" s="1"/>
  <c r="J70" i="5"/>
  <c r="K70" i="5" s="1"/>
  <c r="L70" i="5" s="1"/>
  <c r="J63" i="5"/>
  <c r="K63" i="5" s="1"/>
  <c r="L63" i="5" s="1"/>
  <c r="J56" i="5"/>
  <c r="K56" i="5" s="1"/>
  <c r="L56" i="5" s="1"/>
  <c r="J49" i="5"/>
  <c r="K49" i="5" s="1"/>
  <c r="L49" i="5" s="1"/>
  <c r="J65" i="5"/>
  <c r="K65" i="5" s="1"/>
  <c r="L65" i="5" s="1"/>
  <c r="J58" i="5"/>
  <c r="K58" i="5" s="1"/>
  <c r="L58" i="5" s="1"/>
  <c r="J51" i="5"/>
  <c r="K51" i="5" s="1"/>
  <c r="L51" i="5" s="1"/>
  <c r="J66" i="5"/>
  <c r="K66" i="5" s="1"/>
  <c r="L66" i="5" s="1"/>
  <c r="J59" i="5"/>
  <c r="K59" i="5" s="1"/>
  <c r="L59" i="5" s="1"/>
  <c r="J52" i="5"/>
  <c r="K52" i="5" s="1"/>
  <c r="L52" i="5" s="1"/>
  <c r="J45" i="5"/>
  <c r="K45" i="5" s="1"/>
  <c r="L45" i="5" s="1"/>
  <c r="J68" i="5"/>
  <c r="K68" i="5" s="1"/>
  <c r="L68" i="5" s="1"/>
  <c r="J61" i="5"/>
  <c r="K61" i="5" s="1"/>
  <c r="L61" i="5" s="1"/>
  <c r="J54" i="5"/>
  <c r="K54" i="5" s="1"/>
  <c r="L54" i="5" s="1"/>
  <c r="J47" i="5"/>
  <c r="K47" i="5" s="1"/>
  <c r="L47" i="5" s="1"/>
  <c r="J46" i="5"/>
  <c r="K46" i="5" s="1"/>
  <c r="L46" i="5" s="1"/>
  <c r="J43" i="5"/>
  <c r="K43" i="5" s="1"/>
  <c r="L43" i="5" s="1"/>
  <c r="J64" i="5"/>
  <c r="K64" i="5" s="1"/>
  <c r="L64" i="5" s="1"/>
  <c r="J30" i="5"/>
  <c r="K30" i="5" s="1"/>
  <c r="L30" i="5" s="1"/>
  <c r="J20" i="5"/>
  <c r="K20" i="5" s="1"/>
  <c r="L20" i="5" s="1"/>
  <c r="J13" i="5"/>
  <c r="K13" i="5" s="1"/>
  <c r="L13" i="5" s="1"/>
  <c r="J6" i="5"/>
  <c r="K6" i="5" s="1"/>
  <c r="J60" i="5"/>
  <c r="K60" i="5" s="1"/>
  <c r="L60" i="5" s="1"/>
  <c r="J67" i="5"/>
  <c r="K67" i="5" s="1"/>
  <c r="L67" i="5" s="1"/>
  <c r="J40" i="5"/>
  <c r="K40" i="5" s="1"/>
  <c r="L40" i="5" s="1"/>
  <c r="J71" i="5"/>
  <c r="K71" i="5" s="1"/>
  <c r="L71" i="5" s="1"/>
  <c r="J42" i="5"/>
  <c r="K42" i="5" s="1"/>
  <c r="L42" i="5" s="1"/>
  <c r="J37" i="5"/>
  <c r="K37" i="5" s="1"/>
  <c r="L37" i="5" s="1"/>
  <c r="J19" i="5"/>
  <c r="K19" i="5" s="1"/>
  <c r="L19" i="5" s="1"/>
  <c r="J23" i="5"/>
  <c r="K23" i="5" s="1"/>
  <c r="L23" i="5" s="1"/>
  <c r="J16" i="5"/>
  <c r="K16" i="5" s="1"/>
  <c r="L16" i="5" s="1"/>
  <c r="J9" i="5"/>
  <c r="K9" i="5" s="1"/>
  <c r="L9" i="5" s="1"/>
  <c r="J10" i="5"/>
  <c r="K10" i="5" s="1"/>
  <c r="L10" i="5" s="1"/>
  <c r="J36" i="5"/>
  <c r="K36" i="5" s="1"/>
  <c r="L36" i="5" s="1"/>
  <c r="J39" i="5"/>
  <c r="K39" i="5" s="1"/>
  <c r="L39" i="5" s="1"/>
  <c r="J44" i="5"/>
  <c r="K44" i="5" s="1"/>
  <c r="L44" i="5" s="1"/>
  <c r="J27" i="5"/>
  <c r="K27" i="5" s="1"/>
  <c r="L27" i="5" s="1"/>
  <c r="J17" i="5"/>
  <c r="K17" i="5" s="1"/>
  <c r="L17" i="5" s="1"/>
  <c r="J31" i="5"/>
  <c r="K31" i="5" s="1"/>
  <c r="L31" i="5" s="1"/>
  <c r="J21" i="5"/>
  <c r="K21" i="5" s="1"/>
  <c r="L21" i="5" s="1"/>
  <c r="J14" i="5"/>
  <c r="K14" i="5" s="1"/>
  <c r="L14" i="5" s="1"/>
  <c r="J7" i="5"/>
  <c r="K7" i="5" s="1"/>
  <c r="L7" i="5" s="1"/>
  <c r="J38" i="5"/>
  <c r="K38" i="5" s="1"/>
  <c r="L38" i="5" s="1"/>
  <c r="J29" i="5"/>
  <c r="K29" i="5" s="1"/>
  <c r="L29" i="5" s="1"/>
  <c r="J12" i="5"/>
  <c r="K12" i="5" s="1"/>
  <c r="L12" i="5" s="1"/>
  <c r="J53" i="5"/>
  <c r="K53" i="5" s="1"/>
  <c r="L53" i="5" s="1"/>
  <c r="J28" i="5"/>
  <c r="K28" i="5" s="1"/>
  <c r="L28" i="5" s="1"/>
  <c r="J18" i="5"/>
  <c r="K18" i="5" s="1"/>
  <c r="L18" i="5" s="1"/>
  <c r="J11" i="5"/>
  <c r="K11" i="5" s="1"/>
  <c r="L11" i="5" s="1"/>
  <c r="J32" i="5"/>
  <c r="K32" i="5" s="1"/>
  <c r="L32" i="5" s="1"/>
  <c r="J15" i="5"/>
  <c r="K15" i="5" s="1"/>
  <c r="L15" i="5" s="1"/>
  <c r="J8" i="5"/>
  <c r="K8" i="5" s="1"/>
  <c r="L8" i="5" s="1"/>
  <c r="J22" i="5"/>
  <c r="K22" i="5" s="1"/>
  <c r="L22" i="5" s="1"/>
  <c r="J50" i="5"/>
  <c r="K50" i="5" s="1"/>
  <c r="L50" i="5" s="1"/>
  <c r="J57" i="5"/>
  <c r="K57" i="5" s="1"/>
  <c r="L57" i="5" s="1"/>
  <c r="J59" i="8"/>
  <c r="J52" i="8"/>
  <c r="J45" i="8"/>
  <c r="J38" i="8"/>
  <c r="J31" i="8"/>
  <c r="J24" i="8"/>
  <c r="J17" i="8"/>
  <c r="J10" i="8"/>
  <c r="J62" i="8"/>
  <c r="J55" i="8"/>
  <c r="J48" i="8"/>
  <c r="J41" i="8"/>
  <c r="J34" i="8"/>
  <c r="J27" i="8"/>
  <c r="J20" i="8"/>
  <c r="J13" i="8"/>
  <c r="J7" i="8"/>
  <c r="J3" i="8"/>
  <c r="J58" i="8"/>
  <c r="J51" i="8"/>
  <c r="J44" i="8"/>
  <c r="J37" i="8"/>
  <c r="J30" i="8"/>
  <c r="J23" i="8"/>
  <c r="J16" i="8"/>
  <c r="J9" i="8"/>
  <c r="J5" i="8"/>
  <c r="J61" i="8"/>
  <c r="J54" i="8"/>
  <c r="J47" i="8"/>
  <c r="J40" i="8"/>
  <c r="J33" i="8"/>
  <c r="J26" i="8"/>
  <c r="J19" i="8"/>
  <c r="J12" i="8"/>
  <c r="J57" i="8"/>
  <c r="J50" i="8"/>
  <c r="J43" i="8"/>
  <c r="J36" i="8"/>
  <c r="J29" i="8"/>
  <c r="J22" i="8"/>
  <c r="J15" i="8"/>
  <c r="J8" i="8"/>
  <c r="J60" i="8"/>
  <c r="J53" i="8"/>
  <c r="J46" i="8"/>
  <c r="J39" i="8"/>
  <c r="J32" i="8"/>
  <c r="J25" i="8"/>
  <c r="J18" i="8"/>
  <c r="J11" i="8"/>
  <c r="J6" i="8"/>
  <c r="J56" i="8"/>
  <c r="J49" i="8"/>
  <c r="J42" i="8"/>
  <c r="J35" i="8"/>
  <c r="J28" i="8"/>
  <c r="J21" i="8"/>
  <c r="J14" i="8"/>
  <c r="J4" i="8"/>
  <c r="D66" i="4"/>
  <c r="E66" i="4" s="1"/>
  <c r="F66" i="4" s="1"/>
  <c r="D59" i="4"/>
  <c r="E59" i="4" s="1"/>
  <c r="F59" i="4" s="1"/>
  <c r="D52" i="4"/>
  <c r="E52" i="4" s="1"/>
  <c r="F52" i="4" s="1"/>
  <c r="D45" i="4"/>
  <c r="E45" i="4" s="1"/>
  <c r="F45" i="4" s="1"/>
  <c r="D38" i="4"/>
  <c r="E38" i="4" s="1"/>
  <c r="F38" i="4" s="1"/>
  <c r="D28" i="4"/>
  <c r="E28" i="4" s="1"/>
  <c r="F28" i="4" s="1"/>
  <c r="D18" i="4"/>
  <c r="E18" i="4" s="1"/>
  <c r="F18" i="4" s="1"/>
  <c r="D11" i="4"/>
  <c r="E11" i="4" s="1"/>
  <c r="F11" i="4" s="1"/>
  <c r="D70" i="4"/>
  <c r="E70" i="4" s="1"/>
  <c r="F70" i="4" s="1"/>
  <c r="D65" i="4"/>
  <c r="E65" i="4" s="1"/>
  <c r="F65" i="4" s="1"/>
  <c r="D57" i="4"/>
  <c r="E57" i="4" s="1"/>
  <c r="F57" i="4" s="1"/>
  <c r="D41" i="4"/>
  <c r="E41" i="4" s="1"/>
  <c r="F41" i="4" s="1"/>
  <c r="D30" i="4"/>
  <c r="E30" i="4" s="1"/>
  <c r="F30" i="4" s="1"/>
  <c r="D15" i="4"/>
  <c r="E15" i="4" s="1"/>
  <c r="F15" i="4" s="1"/>
  <c r="D37" i="4"/>
  <c r="E37" i="4" s="1"/>
  <c r="F37" i="4" s="1"/>
  <c r="D23" i="4"/>
  <c r="E23" i="4" s="1"/>
  <c r="F23" i="4" s="1"/>
  <c r="D7" i="4"/>
  <c r="E7" i="4" s="1"/>
  <c r="F7" i="4" s="1"/>
  <c r="D62" i="4"/>
  <c r="E62" i="4" s="1"/>
  <c r="F62" i="4" s="1"/>
  <c r="D54" i="4"/>
  <c r="E54" i="4" s="1"/>
  <c r="F54" i="4" s="1"/>
  <c r="D19" i="4"/>
  <c r="E19" i="4" s="1"/>
  <c r="F19" i="4" s="1"/>
  <c r="D10" i="4"/>
  <c r="E10" i="4" s="1"/>
  <c r="F10" i="4" s="1"/>
  <c r="D46" i="4"/>
  <c r="E46" i="4" s="1"/>
  <c r="F46" i="4" s="1"/>
  <c r="D8" i="4"/>
  <c r="E8" i="4" s="1"/>
  <c r="F8" i="4" s="1"/>
  <c r="D67" i="4"/>
  <c r="E67" i="4" s="1"/>
  <c r="F67" i="4" s="1"/>
  <c r="D32" i="4"/>
  <c r="E32" i="4" s="1"/>
  <c r="F32" i="4" s="1"/>
  <c r="D27" i="4"/>
  <c r="E27" i="4" s="1"/>
  <c r="F27" i="4" s="1"/>
  <c r="D16" i="4"/>
  <c r="E16" i="4" s="1"/>
  <c r="F16" i="4" s="1"/>
  <c r="D56" i="4"/>
  <c r="E56" i="4" s="1"/>
  <c r="F56" i="4" s="1"/>
  <c r="D51" i="4"/>
  <c r="E51" i="4" s="1"/>
  <c r="F51" i="4" s="1"/>
  <c r="D43" i="4"/>
  <c r="E43" i="4" s="1"/>
  <c r="F43" i="4" s="1"/>
  <c r="D21" i="4"/>
  <c r="E21" i="4" s="1"/>
  <c r="F21" i="4" s="1"/>
  <c r="D13" i="4"/>
  <c r="E13" i="4" s="1"/>
  <c r="F13" i="4" s="1"/>
  <c r="D42" i="4"/>
  <c r="E42" i="4" s="1"/>
  <c r="F42" i="4" s="1"/>
  <c r="D64" i="4"/>
  <c r="E64" i="4" s="1"/>
  <c r="F64" i="4" s="1"/>
  <c r="D48" i="4"/>
  <c r="E48" i="4" s="1"/>
  <c r="F48" i="4" s="1"/>
  <c r="D40" i="4"/>
  <c r="E40" i="4" s="1"/>
  <c r="F40" i="4" s="1"/>
  <c r="D69" i="4"/>
  <c r="E69" i="4" s="1"/>
  <c r="F69" i="4" s="1"/>
  <c r="D61" i="4"/>
  <c r="E61" i="4" s="1"/>
  <c r="F61" i="4" s="1"/>
  <c r="D29" i="4"/>
  <c r="E29" i="4" s="1"/>
  <c r="F29" i="4" s="1"/>
  <c r="D53" i="4"/>
  <c r="E53" i="4" s="1"/>
  <c r="F53" i="4" s="1"/>
  <c r="D63" i="4"/>
  <c r="E63" i="4" s="1"/>
  <c r="F63" i="4" s="1"/>
  <c r="D58" i="4"/>
  <c r="E58" i="4" s="1"/>
  <c r="F58" i="4" s="1"/>
  <c r="D50" i="4"/>
  <c r="E50" i="4" s="1"/>
  <c r="F50" i="4" s="1"/>
  <c r="D31" i="4"/>
  <c r="E31" i="4" s="1"/>
  <c r="F31" i="4" s="1"/>
  <c r="D20" i="4"/>
  <c r="E20" i="4" s="1"/>
  <c r="F20" i="4" s="1"/>
  <c r="D47" i="4"/>
  <c r="E47" i="4" s="1"/>
  <c r="F47" i="4" s="1"/>
  <c r="D12" i="4"/>
  <c r="E12" i="4" s="1"/>
  <c r="F12" i="4" s="1"/>
  <c r="D9" i="4"/>
  <c r="E9" i="4" s="1"/>
  <c r="F9" i="4" s="1"/>
  <c r="D49" i="4"/>
  <c r="E49" i="4" s="1"/>
  <c r="F49" i="4" s="1"/>
  <c r="D44" i="4"/>
  <c r="E44" i="4" s="1"/>
  <c r="F44" i="4" s="1"/>
  <c r="D36" i="4"/>
  <c r="E36" i="4" s="1"/>
  <c r="F36" i="4" s="1"/>
  <c r="D14" i="4"/>
  <c r="E14" i="4" s="1"/>
  <c r="F14" i="4" s="1"/>
  <c r="D6" i="4"/>
  <c r="E6" i="4" s="1"/>
  <c r="D71" i="4"/>
  <c r="E71" i="4" s="1"/>
  <c r="F71" i="4" s="1"/>
  <c r="D55" i="4"/>
  <c r="E55" i="4" s="1"/>
  <c r="F55" i="4" s="1"/>
  <c r="D68" i="4"/>
  <c r="E68" i="4" s="1"/>
  <c r="F68" i="4" s="1"/>
  <c r="D39" i="4"/>
  <c r="E39" i="4" s="1"/>
  <c r="F39" i="4" s="1"/>
  <c r="D60" i="4"/>
  <c r="E60" i="4" s="1"/>
  <c r="F60" i="4" s="1"/>
  <c r="D17" i="4"/>
  <c r="E17" i="4" s="1"/>
  <c r="F17" i="4" s="1"/>
  <c r="D22" i="4"/>
  <c r="E22" i="4" s="1"/>
  <c r="F22" i="4" s="1"/>
  <c r="L62" i="8"/>
  <c r="L55" i="8"/>
  <c r="L48" i="8"/>
  <c r="L41" i="8"/>
  <c r="L34" i="8"/>
  <c r="L27" i="8"/>
  <c r="L20" i="8"/>
  <c r="L13" i="8"/>
  <c r="L7" i="8"/>
  <c r="L3" i="8"/>
  <c r="L58" i="8"/>
  <c r="L51" i="8"/>
  <c r="L44" i="8"/>
  <c r="L37" i="8"/>
  <c r="L30" i="8"/>
  <c r="L23" i="8"/>
  <c r="L16" i="8"/>
  <c r="L9" i="8"/>
  <c r="L5" i="8"/>
  <c r="L61" i="8"/>
  <c r="L54" i="8"/>
  <c r="L47" i="8"/>
  <c r="L40" i="8"/>
  <c r="L33" i="8"/>
  <c r="L26" i="8"/>
  <c r="L19" i="8"/>
  <c r="L12" i="8"/>
  <c r="L57" i="8"/>
  <c r="L50" i="8"/>
  <c r="L43" i="8"/>
  <c r="L36" i="8"/>
  <c r="L29" i="8"/>
  <c r="L22" i="8"/>
  <c r="L15" i="8"/>
  <c r="L8" i="8"/>
  <c r="L60" i="8"/>
  <c r="L53" i="8"/>
  <c r="L46" i="8"/>
  <c r="L39" i="8"/>
  <c r="L32" i="8"/>
  <c r="L25" i="8"/>
  <c r="L18" i="8"/>
  <c r="L11" i="8"/>
  <c r="L6" i="8"/>
  <c r="L56" i="8"/>
  <c r="L49" i="8"/>
  <c r="L42" i="8"/>
  <c r="L35" i="8"/>
  <c r="L28" i="8"/>
  <c r="L21" i="8"/>
  <c r="L14" i="8"/>
  <c r="L4" i="8"/>
  <c r="E71" i="7"/>
  <c r="F71" i="7" s="1"/>
  <c r="G71" i="7" s="1"/>
  <c r="E69" i="7"/>
  <c r="F69" i="7" s="1"/>
  <c r="G69" i="7" s="1"/>
  <c r="E67" i="7"/>
  <c r="F67" i="7" s="1"/>
  <c r="G67" i="7" s="1"/>
  <c r="E65" i="7"/>
  <c r="F65" i="7" s="1"/>
  <c r="G65" i="7" s="1"/>
  <c r="E63" i="7"/>
  <c r="F63" i="7" s="1"/>
  <c r="G63" i="7" s="1"/>
  <c r="E61" i="7"/>
  <c r="F61" i="7" s="1"/>
  <c r="G61" i="7" s="1"/>
  <c r="E59" i="7"/>
  <c r="F59" i="7" s="1"/>
  <c r="G59" i="7" s="1"/>
  <c r="E57" i="7"/>
  <c r="F57" i="7" s="1"/>
  <c r="G57" i="7" s="1"/>
  <c r="E55" i="7"/>
  <c r="F55" i="7" s="1"/>
  <c r="G55" i="7" s="1"/>
  <c r="E53" i="7"/>
  <c r="F53" i="7" s="1"/>
  <c r="G53" i="7" s="1"/>
  <c r="E51" i="7"/>
  <c r="F51" i="7" s="1"/>
  <c r="G51" i="7" s="1"/>
  <c r="E49" i="7"/>
  <c r="F49" i="7" s="1"/>
  <c r="G49" i="7" s="1"/>
  <c r="E47" i="7"/>
  <c r="F47" i="7" s="1"/>
  <c r="G47" i="7" s="1"/>
  <c r="E45" i="7"/>
  <c r="F45" i="7" s="1"/>
  <c r="G45" i="7" s="1"/>
  <c r="E43" i="7"/>
  <c r="F43" i="7" s="1"/>
  <c r="G43" i="7" s="1"/>
  <c r="E41" i="7"/>
  <c r="F41" i="7" s="1"/>
  <c r="G41" i="7" s="1"/>
  <c r="E39" i="7"/>
  <c r="F39" i="7" s="1"/>
  <c r="G39" i="7" s="1"/>
  <c r="E37" i="7"/>
  <c r="F37" i="7" s="1"/>
  <c r="G37" i="7" s="1"/>
  <c r="E32" i="7"/>
  <c r="F32" i="7" s="1"/>
  <c r="G32" i="7" s="1"/>
  <c r="E30" i="7"/>
  <c r="F30" i="7" s="1"/>
  <c r="G30" i="7" s="1"/>
  <c r="E28" i="7"/>
  <c r="F28" i="7" s="1"/>
  <c r="G28" i="7" s="1"/>
  <c r="E23" i="7"/>
  <c r="F23" i="7" s="1"/>
  <c r="G23" i="7" s="1"/>
  <c r="E21" i="7"/>
  <c r="F21" i="7" s="1"/>
  <c r="G21" i="7" s="1"/>
  <c r="E19" i="7"/>
  <c r="F19" i="7" s="1"/>
  <c r="G19" i="7" s="1"/>
  <c r="E17" i="7"/>
  <c r="F17" i="7" s="1"/>
  <c r="G17" i="7" s="1"/>
  <c r="E15" i="7"/>
  <c r="F15" i="7" s="1"/>
  <c r="G15" i="7" s="1"/>
  <c r="E13" i="7"/>
  <c r="F13" i="7" s="1"/>
  <c r="G13" i="7" s="1"/>
  <c r="E11" i="7"/>
  <c r="F11" i="7" s="1"/>
  <c r="G11" i="7" s="1"/>
  <c r="E9" i="7"/>
  <c r="F9" i="7" s="1"/>
  <c r="G9" i="7" s="1"/>
  <c r="E7" i="7"/>
  <c r="F7" i="7" s="1"/>
  <c r="G7" i="7" s="1"/>
  <c r="L59" i="8"/>
  <c r="L52" i="8"/>
  <c r="L45" i="8"/>
  <c r="L38" i="8"/>
  <c r="L31" i="8"/>
  <c r="L24" i="8"/>
  <c r="L17" i="8"/>
  <c r="L10" i="8"/>
  <c r="E68" i="7"/>
  <c r="F68" i="7" s="1"/>
  <c r="G68" i="7" s="1"/>
  <c r="E40" i="7"/>
  <c r="F40" i="7" s="1"/>
  <c r="G40" i="7" s="1"/>
  <c r="E6" i="7"/>
  <c r="F6" i="7" s="1"/>
  <c r="E46" i="7"/>
  <c r="F46" i="7" s="1"/>
  <c r="G46" i="7" s="1"/>
  <c r="E12" i="7"/>
  <c r="F12" i="7" s="1"/>
  <c r="G12" i="7" s="1"/>
  <c r="E52" i="7"/>
  <c r="F52" i="7" s="1"/>
  <c r="G52" i="7" s="1"/>
  <c r="E18" i="7"/>
  <c r="F18" i="7" s="1"/>
  <c r="G18" i="7" s="1"/>
  <c r="E58" i="7"/>
  <c r="F58" i="7" s="1"/>
  <c r="G58" i="7" s="1"/>
  <c r="E27" i="7"/>
  <c r="F27" i="7" s="1"/>
  <c r="G27" i="7" s="1"/>
  <c r="B74" i="7" s="1"/>
  <c r="C8" i="8" s="1"/>
  <c r="E64" i="7"/>
  <c r="F64" i="7" s="1"/>
  <c r="G64" i="7" s="1"/>
  <c r="E36" i="7"/>
  <c r="F36" i="7" s="1"/>
  <c r="G36" i="7" s="1"/>
  <c r="E70" i="7"/>
  <c r="F70" i="7" s="1"/>
  <c r="G70" i="7" s="1"/>
  <c r="E42" i="7"/>
  <c r="F42" i="7" s="1"/>
  <c r="G42" i="7" s="1"/>
  <c r="E8" i="7"/>
  <c r="F8" i="7" s="1"/>
  <c r="G8" i="7" s="1"/>
  <c r="E48" i="7"/>
  <c r="F48" i="7" s="1"/>
  <c r="G48" i="7" s="1"/>
  <c r="E14" i="7"/>
  <c r="F14" i="7" s="1"/>
  <c r="G14" i="7" s="1"/>
  <c r="E60" i="7"/>
  <c r="F60" i="7" s="1"/>
  <c r="G60" i="7" s="1"/>
  <c r="E29" i="7"/>
  <c r="F29" i="7" s="1"/>
  <c r="G29" i="7" s="1"/>
  <c r="E66" i="7"/>
  <c r="F66" i="7" s="1"/>
  <c r="G66" i="7" s="1"/>
  <c r="E38" i="7"/>
  <c r="F38" i="7" s="1"/>
  <c r="G38" i="7" s="1"/>
  <c r="E50" i="7"/>
  <c r="F50" i="7" s="1"/>
  <c r="G50" i="7" s="1"/>
  <c r="E16" i="7"/>
  <c r="F16" i="7" s="1"/>
  <c r="G16" i="7" s="1"/>
  <c r="E62" i="7"/>
  <c r="F62" i="7" s="1"/>
  <c r="G62" i="7" s="1"/>
  <c r="E44" i="7"/>
  <c r="F44" i="7" s="1"/>
  <c r="G44" i="7" s="1"/>
  <c r="E31" i="7"/>
  <c r="F31" i="7" s="1"/>
  <c r="G31" i="7" s="1"/>
  <c r="E20" i="7"/>
  <c r="F20" i="7" s="1"/>
  <c r="G20" i="7" s="1"/>
  <c r="E10" i="7"/>
  <c r="F10" i="7" s="1"/>
  <c r="G10" i="7" s="1"/>
  <c r="E56" i="7"/>
  <c r="F56" i="7" s="1"/>
  <c r="G56" i="7" s="1"/>
  <c r="E22" i="7"/>
  <c r="F22" i="7" s="1"/>
  <c r="G22" i="7" s="1"/>
  <c r="E54" i="7"/>
  <c r="F54" i="7" s="1"/>
  <c r="G54" i="7" s="1"/>
  <c r="C58" i="6"/>
  <c r="D58" i="6" s="1"/>
  <c r="E58" i="6" s="1"/>
  <c r="C44" i="6"/>
  <c r="D44" i="6" s="1"/>
  <c r="E44" i="6" s="1"/>
  <c r="C27" i="6"/>
  <c r="D27" i="6" s="1"/>
  <c r="E27" i="6" s="1"/>
  <c r="C10" i="6"/>
  <c r="D10" i="6" s="1"/>
  <c r="E10" i="6" s="1"/>
  <c r="K62" i="8"/>
  <c r="C66" i="6"/>
  <c r="D66" i="6" s="1"/>
  <c r="E66" i="6" s="1"/>
  <c r="C52" i="6"/>
  <c r="D52" i="6" s="1"/>
  <c r="E52" i="6" s="1"/>
  <c r="C38" i="6"/>
  <c r="D38" i="6" s="1"/>
  <c r="E38" i="6" s="1"/>
  <c r="C18" i="6"/>
  <c r="D18" i="6" s="1"/>
  <c r="E18" i="6" s="1"/>
  <c r="C60" i="6"/>
  <c r="D60" i="6" s="1"/>
  <c r="E60" i="6" s="1"/>
  <c r="C46" i="6"/>
  <c r="D46" i="6" s="1"/>
  <c r="E46" i="6" s="1"/>
  <c r="K61" i="8"/>
  <c r="C68" i="6"/>
  <c r="D68" i="6" s="1"/>
  <c r="E68" i="6" s="1"/>
  <c r="C54" i="6"/>
  <c r="D54" i="6" s="1"/>
  <c r="E54" i="6" s="1"/>
  <c r="C40" i="6"/>
  <c r="D40" i="6" s="1"/>
  <c r="E40" i="6" s="1"/>
  <c r="C20" i="6"/>
  <c r="D20" i="6" s="1"/>
  <c r="E20" i="6" s="1"/>
  <c r="C6" i="6"/>
  <c r="D6" i="6" s="1"/>
  <c r="C62" i="6"/>
  <c r="D62" i="6" s="1"/>
  <c r="E62" i="6" s="1"/>
  <c r="C48" i="6"/>
  <c r="D48" i="6" s="1"/>
  <c r="E48" i="6" s="1"/>
  <c r="C31" i="6"/>
  <c r="D31" i="6" s="1"/>
  <c r="E31" i="6" s="1"/>
  <c r="C14" i="6"/>
  <c r="D14" i="6" s="1"/>
  <c r="E14" i="6" s="1"/>
  <c r="K60" i="8"/>
  <c r="C70" i="6"/>
  <c r="D70" i="6" s="1"/>
  <c r="E70" i="6" s="1"/>
  <c r="C56" i="6"/>
  <c r="D56" i="6" s="1"/>
  <c r="E56" i="6" s="1"/>
  <c r="C42" i="6"/>
  <c r="D42" i="6" s="1"/>
  <c r="E42" i="6" s="1"/>
  <c r="C22" i="6"/>
  <c r="D22" i="6" s="1"/>
  <c r="E22" i="6" s="1"/>
  <c r="C8" i="6"/>
  <c r="D8" i="6" s="1"/>
  <c r="E8" i="6" s="1"/>
  <c r="C64" i="6"/>
  <c r="D64" i="6" s="1"/>
  <c r="E64" i="6" s="1"/>
  <c r="C50" i="6"/>
  <c r="D50" i="6" s="1"/>
  <c r="E50" i="6" s="1"/>
  <c r="C36" i="6"/>
  <c r="D36" i="6" s="1"/>
  <c r="E36" i="6" s="1"/>
  <c r="C16" i="6"/>
  <c r="D16" i="6" s="1"/>
  <c r="E16" i="6" s="1"/>
  <c r="K59" i="8"/>
  <c r="K53" i="8"/>
  <c r="K46" i="8"/>
  <c r="K39" i="8"/>
  <c r="K32" i="8"/>
  <c r="K25" i="8"/>
  <c r="K18" i="8"/>
  <c r="K11" i="8"/>
  <c r="K6" i="8"/>
  <c r="C9" i="6"/>
  <c r="D9" i="6" s="1"/>
  <c r="E9" i="6" s="1"/>
  <c r="K52" i="8"/>
  <c r="K45" i="8"/>
  <c r="K38" i="8"/>
  <c r="K31" i="8"/>
  <c r="K24" i="8"/>
  <c r="K17" i="8"/>
  <c r="K10" i="8"/>
  <c r="C69" i="6"/>
  <c r="D69" i="6" s="1"/>
  <c r="E69" i="6" s="1"/>
  <c r="C65" i="6"/>
  <c r="D65" i="6" s="1"/>
  <c r="E65" i="6" s="1"/>
  <c r="C61" i="6"/>
  <c r="D61" i="6" s="1"/>
  <c r="E61" i="6" s="1"/>
  <c r="C57" i="6"/>
  <c r="D57" i="6" s="1"/>
  <c r="E57" i="6" s="1"/>
  <c r="C53" i="6"/>
  <c r="D53" i="6" s="1"/>
  <c r="E53" i="6" s="1"/>
  <c r="C49" i="6"/>
  <c r="D49" i="6" s="1"/>
  <c r="E49" i="6" s="1"/>
  <c r="C45" i="6"/>
  <c r="D45" i="6" s="1"/>
  <c r="E45" i="6" s="1"/>
  <c r="C41" i="6"/>
  <c r="D41" i="6" s="1"/>
  <c r="E41" i="6" s="1"/>
  <c r="C37" i="6"/>
  <c r="D37" i="6" s="1"/>
  <c r="E37" i="6" s="1"/>
  <c r="C30" i="6"/>
  <c r="D30" i="6" s="1"/>
  <c r="E30" i="6" s="1"/>
  <c r="C12" i="6"/>
  <c r="D12" i="6" s="1"/>
  <c r="E12" i="6" s="1"/>
  <c r="K58" i="8"/>
  <c r="K51" i="8"/>
  <c r="K44" i="8"/>
  <c r="K37" i="8"/>
  <c r="K30" i="8"/>
  <c r="K23" i="8"/>
  <c r="K16" i="8"/>
  <c r="K9" i="8"/>
  <c r="K5" i="8"/>
  <c r="C23" i="6"/>
  <c r="D23" i="6" s="1"/>
  <c r="E23" i="6" s="1"/>
  <c r="K57" i="8"/>
  <c r="K50" i="8"/>
  <c r="K43" i="8"/>
  <c r="K36" i="8"/>
  <c r="K29" i="8"/>
  <c r="K22" i="8"/>
  <c r="K15" i="8"/>
  <c r="K8" i="8"/>
  <c r="C29" i="6"/>
  <c r="D29" i="6" s="1"/>
  <c r="E29" i="6" s="1"/>
  <c r="C11" i="6"/>
  <c r="D11" i="6" s="1"/>
  <c r="E11" i="6" s="1"/>
  <c r="K56" i="8"/>
  <c r="K49" i="8"/>
  <c r="K42" i="8"/>
  <c r="K35" i="8"/>
  <c r="K28" i="8"/>
  <c r="K21" i="8"/>
  <c r="K14" i="8"/>
  <c r="K4" i="8"/>
  <c r="C71" i="6"/>
  <c r="D71" i="6" s="1"/>
  <c r="E71" i="6" s="1"/>
  <c r="C67" i="6"/>
  <c r="D67" i="6" s="1"/>
  <c r="E67" i="6" s="1"/>
  <c r="C63" i="6"/>
  <c r="D63" i="6" s="1"/>
  <c r="E63" i="6" s="1"/>
  <c r="C59" i="6"/>
  <c r="D59" i="6" s="1"/>
  <c r="E59" i="6" s="1"/>
  <c r="C55" i="6"/>
  <c r="D55" i="6" s="1"/>
  <c r="E55" i="6" s="1"/>
  <c r="C51" i="6"/>
  <c r="D51" i="6" s="1"/>
  <c r="E51" i="6" s="1"/>
  <c r="C47" i="6"/>
  <c r="D47" i="6" s="1"/>
  <c r="E47" i="6" s="1"/>
  <c r="C43" i="6"/>
  <c r="D43" i="6" s="1"/>
  <c r="E43" i="6" s="1"/>
  <c r="C39" i="6"/>
  <c r="D39" i="6" s="1"/>
  <c r="E39" i="6" s="1"/>
  <c r="C32" i="6"/>
  <c r="D32" i="6" s="1"/>
  <c r="E32" i="6" s="1"/>
  <c r="K54" i="8"/>
  <c r="K47" i="8"/>
  <c r="K40" i="8"/>
  <c r="K33" i="8"/>
  <c r="K26" i="8"/>
  <c r="K19" i="8"/>
  <c r="K12" i="8"/>
  <c r="K48" i="8"/>
  <c r="C7" i="6"/>
  <c r="D7" i="6" s="1"/>
  <c r="E7" i="6" s="1"/>
  <c r="C17" i="6"/>
  <c r="D17" i="6" s="1"/>
  <c r="E17" i="6" s="1"/>
  <c r="K34" i="8"/>
  <c r="K20" i="8"/>
  <c r="C21" i="6"/>
  <c r="D21" i="6" s="1"/>
  <c r="E21" i="6" s="1"/>
  <c r="K7" i="8"/>
  <c r="K55" i="8"/>
  <c r="C28" i="6"/>
  <c r="D28" i="6" s="1"/>
  <c r="E28" i="6" s="1"/>
  <c r="C15" i="6"/>
  <c r="D15" i="6" s="1"/>
  <c r="E15" i="6" s="1"/>
  <c r="K41" i="8"/>
  <c r="C19" i="6"/>
  <c r="D19" i="6" s="1"/>
  <c r="E19" i="6" s="1"/>
  <c r="K27" i="8"/>
  <c r="K13" i="8"/>
  <c r="K3" i="8"/>
  <c r="C13" i="6"/>
  <c r="D13" i="6" s="1"/>
  <c r="E13" i="6" s="1"/>
  <c r="B74" i="5" l="1"/>
  <c r="C5" i="8" s="1"/>
  <c r="B76" i="5"/>
  <c r="E5" i="8" s="1"/>
  <c r="L6" i="5"/>
  <c r="B73" i="5" s="1"/>
  <c r="B5" i="8" s="1"/>
  <c r="B75" i="5"/>
  <c r="D5" i="8" s="1"/>
  <c r="B76" i="6"/>
  <c r="E7" i="8" s="1"/>
  <c r="E6" i="6"/>
  <c r="B73" i="6" s="1"/>
  <c r="B7" i="8" s="1"/>
  <c r="B74" i="6"/>
  <c r="C7" i="8" s="1"/>
  <c r="B75" i="6"/>
  <c r="D7" i="8" s="1"/>
  <c r="F6" i="4"/>
  <c r="B73" i="4" s="1"/>
  <c r="B6" i="8" s="1"/>
  <c r="B76" i="4"/>
  <c r="E6" i="8" s="1"/>
  <c r="B74" i="4"/>
  <c r="C6" i="8" s="1"/>
  <c r="B75" i="4"/>
  <c r="D6" i="8" s="1"/>
  <c r="B76" i="7"/>
  <c r="E8" i="8" s="1"/>
  <c r="G6" i="7"/>
  <c r="B73" i="7" s="1"/>
  <c r="B8" i="8" s="1"/>
  <c r="B75" i="7"/>
  <c r="D8" i="8" s="1"/>
</calcChain>
</file>

<file path=xl/sharedStrings.xml><?xml version="1.0" encoding="utf-8"?>
<sst xmlns="http://schemas.openxmlformats.org/spreadsheetml/2006/main" count="192" uniqueCount="74">
  <si>
    <t>Training Data (n = 18)</t>
  </si>
  <si>
    <t>Fit all four models (polynomial, quadratic, exponential, sinusoidal) on this set only.</t>
  </si>
  <si>
    <t>Period</t>
  </si>
  <si>
    <t>Value</t>
  </si>
  <si>
    <t>Test / Holdout Data (n = 6)</t>
  </si>
  <si>
    <t>Interior points withheld from training, within the same initial window. Used to compute test MAE.</t>
  </si>
  <si>
    <t>Extension Data (n = 36) — reveal AFTER initial model advocacy</t>
  </si>
  <si>
    <t>Periods beyond the initial window. Do not show students until after they've picked/defended a model.</t>
  </si>
  <si>
    <t>Quadratic Fit:  y = c2·t² + c1·t + c0</t>
  </si>
  <si>
    <t>Model Coefficients (LINEST)</t>
  </si>
  <si>
    <t>Coef t^2</t>
  </si>
  <si>
    <t>Coef t^1</t>
  </si>
  <si>
    <t>Intercept</t>
  </si>
  <si>
    <t>Training Fit</t>
  </si>
  <si>
    <t>t^2</t>
  </si>
  <si>
    <t>Predicted</t>
  </si>
  <si>
    <t>Residual</t>
  </si>
  <si>
    <t>|Residual|</t>
  </si>
  <si>
    <t>Test Fit</t>
  </si>
  <si>
    <t>Extension Fit</t>
  </si>
  <si>
    <t>Train MAE</t>
  </si>
  <si>
    <t>Test MAE</t>
  </si>
  <si>
    <t>Extension MAE</t>
  </si>
  <si>
    <t>Residual autocorrelation (lag-1, training)</t>
  </si>
  <si>
    <t>High-Degree Polynomial Fit (degree 8)</t>
  </si>
  <si>
    <t>Coef t^8</t>
  </si>
  <si>
    <t>Coef t^7</t>
  </si>
  <si>
    <t>Coef t^6</t>
  </si>
  <si>
    <t>Coef t^5</t>
  </si>
  <si>
    <t>Coef t^4</t>
  </si>
  <si>
    <t>Coef t^3</t>
  </si>
  <si>
    <t>t^3</t>
  </si>
  <si>
    <t>t^4</t>
  </si>
  <si>
    <t>t^5</t>
  </si>
  <si>
    <t>t^6</t>
  </si>
  <si>
    <t>t^7</t>
  </si>
  <si>
    <t>t^8</t>
  </si>
  <si>
    <t>Exponential Fit:  y = b · m^t   (LOGEST)</t>
  </si>
  <si>
    <t>Model Coefficients (LOGEST)</t>
  </si>
  <si>
    <t>Base (m)</t>
  </si>
  <si>
    <t>Coefficient (b)</t>
  </si>
  <si>
    <t>Sinusoidal Fit:  y = a + b·t + C1·sin(2π·t/T) + C2·cos(2π·t/T)</t>
  </si>
  <si>
    <t>Assumed Period (T):</t>
  </si>
  <si>
    <t>&lt;- editable. Found by grid-searching SSE over T = 10..60 on the training data; try Solver to refine.</t>
  </si>
  <si>
    <t>Coef cos</t>
  </si>
  <si>
    <t>Coef sin</t>
  </si>
  <si>
    <t>Coef t</t>
  </si>
  <si>
    <t>sin(2πt/T)</t>
  </si>
  <si>
    <t>cos(2πt/T)</t>
  </si>
  <si>
    <t>Model Comparison</t>
  </si>
  <si>
    <t>Full-Range Comparison (Period 1-60)</t>
  </si>
  <si>
    <t>All values below are formulas pulling from each model's fit tab — nothing is hardcoded.</t>
  </si>
  <si>
    <t>Actual</t>
  </si>
  <si>
    <t>Quadratic Pred.</t>
  </si>
  <si>
    <t>Exponential Pred.</t>
  </si>
  <si>
    <t>Sinusoidal Pred.</t>
  </si>
  <si>
    <t>Model</t>
  </si>
  <si>
    <t>Residual Autocorr (lag-1, train)</t>
  </si>
  <si>
    <t>Polynomial (degree 8)</t>
  </si>
  <si>
    <t>Quadratic</t>
  </si>
  <si>
    <t>Exponential</t>
  </si>
  <si>
    <t>Sinusoidal</t>
  </si>
  <si>
    <t>Read this table alongside the residual-autocorrelation column: a model can have the best (lowest) MAE</t>
  </si>
  <si>
    <t>and still have clearly patterned (non-random) residuals — that's the model to be suspicious of, even though</t>
  </si>
  <si>
    <t>the number alone looks good. A slightly higher MAE with residuals near zero autocorrelation is the more honest fit.</t>
  </si>
  <si>
    <t>Instructor Notes — Why This Dataset Works</t>
  </si>
  <si>
    <t>Story: values grow quickly, then level off into a plateau with a wobble around periods 45-60 (a saturation/seasonality pattern). Students see only periods in the Training/Test tabs (1-24); the Extension tab (25-60) is revealed only after they've picked and defended a model.</t>
  </si>
  <si>
    <t>What the workbook shows</t>
  </si>
  <si>
    <t>Train MAE 0.70 (near-perfect fit to only 18 points). Test MAE 2.45, ~3.5x higher, even within the initial window. Extension MAE explodes to ~633,000 — a textbook overfitting blowup once asked to extrapolate. See the Polynomial Fit tab's overlay chart.</t>
  </si>
  <si>
    <t>Train MAE 1.23, Test MAE 1.71 — looks fine, and slightly better than Exponential's Test MAE (1.61 is actually a hair lower — see note below). Residual autocorrelation is low (0.07, near-random) on this particular draw — check the residual scatter chart on the Quadratic Fit tab with students and look for any curve/run pattern by eye, not just the single autocorrelation number. Extension MAE 93.6 — clearly worse than the sinusoidal fit once the plateau appears.</t>
  </si>
  <si>
    <t>Train MAE 1.70, Test MAE 1.61 — technically the best test MAE of the four non-polynomial... no, of the three non-sinusoidal models. Residual autocorrelation is notably higher (0.37) than Quadratic's (0.07): its residuals cluster in long same-sign runs rather than scattering randomly (visible on the Exponential Fit residual chart). This is the intended pairing for the exercise: a model that 'wins' on raw MAE while quietly showing a structured, non-random residual pattern. Its Extension MAE (185.1) is also worse than Quadratic's — extrapolating an exponential compounds error fast.</t>
  </si>
  <si>
    <t>Mediocre in-sample: Test MAE 2.32, the worst of the three non-polynomial models on the initial data — nothing here makes it look necessary yet. Once the extension is revealed, it wins decisively: Extension MAE 45.2, versus 93.6 (Quadratic) and 185.1 (Exponential). The assumed period (T=60, in the Sinusoidal Fit tab, cell B2) was found by grid search on the training data alone — with under half a cycle visible, the period is inherently underdetermined, which is itself worth discussing with students: correctly specifying the FORM of a model does not guarantee its PARAMETERS are pinned down by limited data.</t>
  </si>
  <si>
    <t>Where every number comes from</t>
  </si>
  <si>
    <t>All MAE, coefficient, and autocorrelation values live on the model tabs and are pulled together on Model Comparison — every cell is a formula (LINEST / LOGEST / AVERAGE / CORREL), so changing a value in Training Data, Test Data, or Extension Data recalculates everything downstream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</si>
</sst>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'Training Data'!$A$4:$A$21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'Training Data'!$B$4:$B$21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0-4F99-8A1B-E735A3F4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7407"/>
        <c:axId val="1705663023"/>
      </c:scatterChart>
      <c:valAx>
        <c:axId val="187024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63023"/>
        <c:crosses val="autoZero"/>
        <c:crossBetween val="midCat"/>
      </c:valAx>
      <c:valAx>
        <c:axId val="17056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0"/>
            <c:dispRSqr val="0"/>
            <c:dispEq val="0"/>
          </c:trendline>
          <c:xVal>
            <c:numRef>
              <c:f>'Quadratic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'Quadratic Fit'!$C$6:$C$23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B-410D-9F3B-EB313BB20B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'Quadratic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'Quadratic Fit'!$C$36:$C$71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4B-410D-9F3B-EB313BB20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5551"/>
        <c:axId val="1705615983"/>
      </c:scatterChart>
      <c:valAx>
        <c:axId val="18702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15983"/>
        <c:crosses val="autoZero"/>
        <c:crossBetween val="midCat"/>
      </c:valAx>
      <c:valAx>
        <c:axId val="17056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Residuals: Quadratic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'Quadratic Fit'!$E$6:$E$23</c:f>
              <c:numCache>
                <c:formatCode>General</c:formatCode>
                <c:ptCount val="18"/>
                <c:pt idx="0">
                  <c:v>2.761815756525472</c:v>
                </c:pt>
                <c:pt idx="1">
                  <c:v>0.44488602161852597</c:v>
                </c:pt>
                <c:pt idx="2">
                  <c:v>-0.94517512828474182</c:v>
                </c:pt>
                <c:pt idx="3">
                  <c:v>-0.85296713315453232</c:v>
                </c:pt>
                <c:pt idx="4">
                  <c:v>-3.0317437077936873</c:v>
                </c:pt>
                <c:pt idx="5">
                  <c:v>-0.42272827756305276</c:v>
                </c:pt>
                <c:pt idx="6">
                  <c:v>-1.2314437022989466</c:v>
                </c:pt>
                <c:pt idx="7">
                  <c:v>0.72793288332968586</c:v>
                </c:pt>
                <c:pt idx="8">
                  <c:v>1.6024893694215336E-2</c:v>
                </c:pt>
                <c:pt idx="9">
                  <c:v>0.29638604909222011</c:v>
                </c:pt>
                <c:pt idx="10">
                  <c:v>-0.72608420501135384</c:v>
                </c:pt>
                <c:pt idx="11">
                  <c:v>0.42108438548707028</c:v>
                </c:pt>
                <c:pt idx="12">
                  <c:v>1.890522121018968</c:v>
                </c:pt>
                <c:pt idx="13">
                  <c:v>2.4262050271831868</c:v>
                </c:pt>
                <c:pt idx="14">
                  <c:v>1.2450197815510933E-2</c:v>
                </c:pt>
                <c:pt idx="15">
                  <c:v>-8.9035486518696416E-2</c:v>
                </c:pt>
                <c:pt idx="16">
                  <c:v>2.0617479741805766</c:v>
                </c:pt>
                <c:pt idx="17">
                  <c:v>-3.7598776693204741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7-4553-8193-2F70AC70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15471"/>
        <c:axId val="1705727823"/>
      </c:scatterChart>
      <c:valAx>
        <c:axId val="19074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27823"/>
        <c:crosses val="autoZero"/>
        <c:crossBetween val="midCat"/>
      </c:valAx>
      <c:valAx>
        <c:axId val="17057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1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Polynomial Fit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Fit'!$K$6:$K$23</c:f>
              <c:numCache>
                <c:formatCode>General</c:formatCode>
                <c:ptCount val="18"/>
                <c:pt idx="0">
                  <c:v>6.0325417614130572E-2</c:v>
                </c:pt>
                <c:pt idx="1">
                  <c:v>-0.40265242707296522</c:v>
                </c:pt>
                <c:pt idx="2">
                  <c:v>2.9469245603515049E-3</c:v>
                </c:pt>
                <c:pt idx="3">
                  <c:v>1.0415938584783113</c:v>
                </c:pt>
                <c:pt idx="4">
                  <c:v>-1.3722319080957206</c:v>
                </c:pt>
                <c:pt idx="5">
                  <c:v>0.70624435842269406</c:v>
                </c:pt>
                <c:pt idx="6">
                  <c:v>-0.57019369772210382</c:v>
                </c:pt>
                <c:pt idx="7">
                  <c:v>0.89337723292683791</c:v>
                </c:pt>
                <c:pt idx="8">
                  <c:v>5.8444777280406868E-2</c:v>
                </c:pt>
                <c:pt idx="9">
                  <c:v>0.19604272189044991</c:v>
                </c:pt>
                <c:pt idx="10">
                  <c:v>-1.2793706527295896</c:v>
                </c:pt>
                <c:pt idx="11">
                  <c:v>-0.37564729774634742</c:v>
                </c:pt>
                <c:pt idx="12">
                  <c:v>0.92085070150905324</c:v>
                </c:pt>
                <c:pt idx="13">
                  <c:v>1.3917076353752975</c:v>
                </c:pt>
                <c:pt idx="14">
                  <c:v>-1.0221195231092111</c:v>
                </c:pt>
                <c:pt idx="15">
                  <c:v>-1.1793182107939373</c:v>
                </c:pt>
                <c:pt idx="16">
                  <c:v>1.0348376635841134</c:v>
                </c:pt>
                <c:pt idx="17">
                  <c:v>-0.10483757449051723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C-4458-B36E-4456E10B6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3690"/>
        <c:axId val="37170532"/>
      </c:scatterChart>
      <c:valAx>
        <c:axId val="537636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170532"/>
        <c:crosses val="autoZero"/>
        <c:crossBetween val="midCat"/>
      </c:valAx>
      <c:valAx>
        <c:axId val="37170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376369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Polynomial Fit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Fit'!$I$6:$I$23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C-4C37-B4E8-2436CE82066F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'Polynomial Fit'!$I$27:$I$32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9C-4C37-B4E8-2436CE82066F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Fit'!$I$36:$I$71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9C-4C37-B4E8-2436CE82066F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'Polynomial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'Polynomial Fit'!$J$6:$J$71</c:f>
              <c:numCache>
                <c:formatCode>General</c:formatCode>
                <c:ptCount val="66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  <c:pt idx="20">
                  <c:v>0</c:v>
                </c:pt>
                <c:pt idx="21">
                  <c:v>22.787720696086087</c:v>
                </c:pt>
                <c:pt idx="22">
                  <c:v>21.732420640988018</c:v>
                </c:pt>
                <c:pt idx="23">
                  <c:v>30.011410885300258</c:v>
                </c:pt>
                <c:pt idx="24">
                  <c:v>40.104069455923423</c:v>
                </c:pt>
                <c:pt idx="25">
                  <c:v>53.127318028800573</c:v>
                </c:pt>
                <c:pt idx="26">
                  <c:v>71.530774294329603</c:v>
                </c:pt>
                <c:pt idx="29">
                  <c:v>0</c:v>
                </c:pt>
                <c:pt idx="30">
                  <c:v>66.292459204825718</c:v>
                </c:pt>
                <c:pt idx="31">
                  <c:v>46.640433282198501</c:v>
                </c:pt>
                <c:pt idx="32">
                  <c:v>1.1708775982770021</c:v>
                </c:pt>
                <c:pt idx="33">
                  <c:v>-89.232063883391675</c:v>
                </c:pt>
                <c:pt idx="34">
                  <c:v>-253.50503919360926</c:v>
                </c:pt>
                <c:pt idx="35">
                  <c:v>-533.88769290842174</c:v>
                </c:pt>
                <c:pt idx="36">
                  <c:v>-990.22140208081692</c:v>
                </c:pt>
                <c:pt idx="37">
                  <c:v>-1705.1789677951019</c:v>
                </c:pt>
                <c:pt idx="38">
                  <c:v>-2790.5469658367219</c:v>
                </c:pt>
                <c:pt idx="39">
                  <c:v>-4394.6897392214159</c:v>
                </c:pt>
                <c:pt idx="40">
                  <c:v>-6711.3312945781508</c:v>
                </c:pt>
                <c:pt idx="41">
                  <c:v>-9989.7986436262145</c:v>
                </c:pt>
                <c:pt idx="42">
                  <c:v>-14546.877410239074</c:v>
                </c:pt>
                <c:pt idx="43">
                  <c:v>-20780.437802843866</c:v>
                </c:pt>
                <c:pt idx="44">
                  <c:v>-29184.996331139933</c:v>
                </c:pt>
                <c:pt idx="45">
                  <c:v>-40369.38592538517</c:v>
                </c:pt>
                <c:pt idx="46">
                  <c:v>-55076.714395744028</c:v>
                </c:pt>
                <c:pt idx="47">
                  <c:v>-74206.798448431306</c:v>
                </c:pt>
                <c:pt idx="48">
                  <c:v>-98841.267754659057</c:v>
                </c:pt>
                <c:pt idx="49">
                  <c:v>-130271.54084760463</c:v>
                </c:pt>
                <c:pt idx="50">
                  <c:v>-170029.88190192496</c:v>
                </c:pt>
                <c:pt idx="51">
                  <c:v>-219923.75472952519</c:v>
                </c:pt>
                <c:pt idx="52">
                  <c:v>-282073.69760459941</c:v>
                </c:pt>
                <c:pt idx="53">
                  <c:v>-358954.94981017616</c:v>
                </c:pt>
                <c:pt idx="54">
                  <c:v>-453443.06807764154</c:v>
                </c:pt>
                <c:pt idx="55">
                  <c:v>-568863.77837003861</c:v>
                </c:pt>
                <c:pt idx="56">
                  <c:v>-709047.31573904864</c:v>
                </c:pt>
                <c:pt idx="57">
                  <c:v>-878387.51226498187</c:v>
                </c:pt>
                <c:pt idx="58">
                  <c:v>-1081905.9003682043</c:v>
                </c:pt>
                <c:pt idx="59">
                  <c:v>-1325321.1060597971</c:v>
                </c:pt>
                <c:pt idx="60">
                  <c:v>-1615123.8139783647</c:v>
                </c:pt>
                <c:pt idx="61">
                  <c:v>-1958657.5933393389</c:v>
                </c:pt>
                <c:pt idx="62">
                  <c:v>-2364205.8812021539</c:v>
                </c:pt>
                <c:pt idx="63">
                  <c:v>-2841085.426740136</c:v>
                </c:pt>
                <c:pt idx="64">
                  <c:v>-3399746.5074769929</c:v>
                </c:pt>
                <c:pt idx="65">
                  <c:v>-4051880.235733293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9C-4C37-B4E8-2436CE82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91109"/>
        <c:axId val="70195992"/>
      </c:scatterChart>
      <c:valAx>
        <c:axId val="654911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0195992"/>
        <c:crosses val="autoZero"/>
        <c:crossBetween val="midCat"/>
      </c:valAx>
      <c:valAx>
        <c:axId val="70195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4911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Fit'!$I$6:$I$23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4-4E1F-8FA4-5948A9690EF4}"/>
            </c:ext>
          </c:extLst>
        </c:ser>
        <c:ser>
          <c:idx val="1"/>
          <c:order val="1"/>
          <c:spPr>
            <a:ln w="2540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Fit'!$J$6:$J$23</c:f>
              <c:numCache>
                <c:formatCode>General</c:formatCode>
                <c:ptCount val="18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B4-4E1F-8FA4-5948A9690EF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Fit'!$I$36:$I$71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B4-4E1F-8FA4-5948A9690EF4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Fit'!$J$36:$J$71</c:f>
              <c:numCache>
                <c:formatCode>General</c:formatCode>
                <c:ptCount val="36"/>
                <c:pt idx="0">
                  <c:v>66.292459204825718</c:v>
                </c:pt>
                <c:pt idx="1">
                  <c:v>46.640433282198501</c:v>
                </c:pt>
                <c:pt idx="2">
                  <c:v>1.1708775982770021</c:v>
                </c:pt>
                <c:pt idx="3">
                  <c:v>-89.232063883391675</c:v>
                </c:pt>
                <c:pt idx="4">
                  <c:v>-253.50503919360926</c:v>
                </c:pt>
                <c:pt idx="5">
                  <c:v>-533.88769290842174</c:v>
                </c:pt>
                <c:pt idx="6">
                  <c:v>-990.22140208081692</c:v>
                </c:pt>
                <c:pt idx="7">
                  <c:v>-1705.1789677951019</c:v>
                </c:pt>
                <c:pt idx="8">
                  <c:v>-2790.5469658367219</c:v>
                </c:pt>
                <c:pt idx="9">
                  <c:v>-4394.6897392214159</c:v>
                </c:pt>
                <c:pt idx="10">
                  <c:v>-6711.3312945781508</c:v>
                </c:pt>
                <c:pt idx="11">
                  <c:v>-9989.7986436262145</c:v>
                </c:pt>
                <c:pt idx="12">
                  <c:v>-14546.877410239074</c:v>
                </c:pt>
                <c:pt idx="13">
                  <c:v>-20780.437802843866</c:v>
                </c:pt>
                <c:pt idx="14">
                  <c:v>-29184.996331139933</c:v>
                </c:pt>
                <c:pt idx="15">
                  <c:v>-40369.38592538517</c:v>
                </c:pt>
                <c:pt idx="16">
                  <c:v>-55076.714395744028</c:v>
                </c:pt>
                <c:pt idx="17">
                  <c:v>-74206.798448431306</c:v>
                </c:pt>
                <c:pt idx="18">
                  <c:v>-98841.267754659057</c:v>
                </c:pt>
                <c:pt idx="19">
                  <c:v>-130271.54084760463</c:v>
                </c:pt>
                <c:pt idx="20">
                  <c:v>-170029.88190192496</c:v>
                </c:pt>
                <c:pt idx="21">
                  <c:v>-219923.75472952519</c:v>
                </c:pt>
                <c:pt idx="22">
                  <c:v>-282073.69760459941</c:v>
                </c:pt>
                <c:pt idx="23">
                  <c:v>-358954.94981017616</c:v>
                </c:pt>
                <c:pt idx="24">
                  <c:v>-453443.06807764154</c:v>
                </c:pt>
                <c:pt idx="25">
                  <c:v>-568863.77837003861</c:v>
                </c:pt>
                <c:pt idx="26">
                  <c:v>-709047.31573904864</c:v>
                </c:pt>
                <c:pt idx="27">
                  <c:v>-878387.51226498187</c:v>
                </c:pt>
                <c:pt idx="28">
                  <c:v>-1081905.9003682043</c:v>
                </c:pt>
                <c:pt idx="29">
                  <c:v>-1325321.1060597971</c:v>
                </c:pt>
                <c:pt idx="30">
                  <c:v>-1615123.8139783647</c:v>
                </c:pt>
                <c:pt idx="31">
                  <c:v>-1958657.5933393389</c:v>
                </c:pt>
                <c:pt idx="32">
                  <c:v>-2364205.8812021539</c:v>
                </c:pt>
                <c:pt idx="33">
                  <c:v>-2841085.426740136</c:v>
                </c:pt>
                <c:pt idx="34">
                  <c:v>-3399746.5074769929</c:v>
                </c:pt>
                <c:pt idx="35">
                  <c:v>-4051880.235733293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B4-4E1F-8FA4-5948A969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513823"/>
        <c:axId val="1705635663"/>
      </c:scatterChart>
      <c:valAx>
        <c:axId val="19005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35663"/>
        <c:crosses val="autoZero"/>
        <c:crossBetween val="midCat"/>
      </c:valAx>
      <c:valAx>
        <c:axId val="17056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51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'Polynomial Fit'!$K$6:$K$23</c:f>
              <c:numCache>
                <c:formatCode>General</c:formatCode>
                <c:ptCount val="18"/>
                <c:pt idx="0">
                  <c:v>6.0325417614130572E-2</c:v>
                </c:pt>
                <c:pt idx="1">
                  <c:v>-0.40265242707296522</c:v>
                </c:pt>
                <c:pt idx="2">
                  <c:v>2.9469245603515049E-3</c:v>
                </c:pt>
                <c:pt idx="3">
                  <c:v>1.0415938584783113</c:v>
                </c:pt>
                <c:pt idx="4">
                  <c:v>-1.3722319080957206</c:v>
                </c:pt>
                <c:pt idx="5">
                  <c:v>0.70624435842269406</c:v>
                </c:pt>
                <c:pt idx="6">
                  <c:v>-0.57019369772210382</c:v>
                </c:pt>
                <c:pt idx="7">
                  <c:v>0.89337723292683791</c:v>
                </c:pt>
                <c:pt idx="8">
                  <c:v>5.8444777280406868E-2</c:v>
                </c:pt>
                <c:pt idx="9">
                  <c:v>0.19604272189044991</c:v>
                </c:pt>
                <c:pt idx="10">
                  <c:v>-1.2793706527295896</c:v>
                </c:pt>
                <c:pt idx="11">
                  <c:v>-0.37564729774634742</c:v>
                </c:pt>
                <c:pt idx="12">
                  <c:v>0.92085070150905324</c:v>
                </c:pt>
                <c:pt idx="13">
                  <c:v>1.3917076353752975</c:v>
                </c:pt>
                <c:pt idx="14">
                  <c:v>-1.0221195231092111</c:v>
                </c:pt>
                <c:pt idx="15">
                  <c:v>-1.1793182107939373</c:v>
                </c:pt>
                <c:pt idx="16">
                  <c:v>1.0348376635841134</c:v>
                </c:pt>
                <c:pt idx="17">
                  <c:v>-0.10483757449051723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F-4DA9-942E-A3BD201B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58159"/>
        <c:axId val="1705665903"/>
      </c:scatterChart>
      <c:valAx>
        <c:axId val="190745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65903"/>
        <c:crosses val="autoZero"/>
        <c:crossBetween val="midCat"/>
      </c:valAx>
      <c:valAx>
        <c:axId val="17056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Exponential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Fit'!$D$6:$D$23</c:f>
              <c:numCache>
                <c:formatCode>General</c:formatCode>
                <c:ptCount val="18"/>
                <c:pt idx="0">
                  <c:v>4.4463129541013799</c:v>
                </c:pt>
                <c:pt idx="1">
                  <c:v>0.92746316098067538</c:v>
                </c:pt>
                <c:pt idx="2">
                  <c:v>-0.91253050287891213</c:v>
                </c:pt>
                <c:pt idx="3">
                  <c:v>-1.1762176392104386</c:v>
                </c:pt>
                <c:pt idx="4">
                  <c:v>-3.80657193192663</c:v>
                </c:pt>
                <c:pt idx="5">
                  <c:v>-1.3050784484214617</c:v>
                </c:pt>
                <c:pt idx="6">
                  <c:v>-2.1510032609354646</c:v>
                </c:pt>
                <c:pt idx="7">
                  <c:v>-8.3215318484342049E-2</c:v>
                </c:pt>
                <c:pt idx="8">
                  <c:v>-0.66469806026978517</c:v>
                </c:pt>
                <c:pt idx="9">
                  <c:v>-0.21404926394192358</c:v>
                </c:pt>
                <c:pt idx="10">
                  <c:v>-0.81243232592910886</c:v>
                </c:pt>
                <c:pt idx="11">
                  <c:v>0.56903280889159191</c:v>
                </c:pt>
                <c:pt idx="12">
                  <c:v>2.2735475219740096</c:v>
                </c:pt>
                <c:pt idx="13">
                  <c:v>3.2354240561887195</c:v>
                </c:pt>
                <c:pt idx="14">
                  <c:v>0.98775429836116047</c:v>
                </c:pt>
                <c:pt idx="15">
                  <c:v>1.0029734860917614</c:v>
                </c:pt>
                <c:pt idx="16">
                  <c:v>3.2064602305912047</c:v>
                </c:pt>
                <c:pt idx="17">
                  <c:v>-2.7650163859168657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1-4EF4-8939-D0F13208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3347"/>
        <c:axId val="85740961"/>
      </c:scatterChart>
      <c:valAx>
        <c:axId val="430433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740961"/>
        <c:crosses val="autoZero"/>
        <c:crossBetween val="midCat"/>
      </c:valAx>
      <c:valAx>
        <c:axId val="85740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04334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Exponential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Fit'!$B$6:$B$23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94-4A2A-9F9E-EBED645AB886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'Exponential Fit'!$B$27:$B$32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94-4A2A-9F9E-EBED645AB886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'Exponential Fit'!$B$36:$B$71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94-4A2A-9F9E-EBED645AB886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'Exponential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'Exponential Fit'!$C$6:$C$71</c:f>
              <c:numCache>
                <c:formatCode>General</c:formatCode>
                <c:ptCount val="66"/>
                <c:pt idx="0">
                  <c:v>17.82368704589862</c:v>
                </c:pt>
                <c:pt idx="1">
                  <c:v>20.192536839019326</c:v>
                </c:pt>
                <c:pt idx="2">
                  <c:v>21.49253050287891</c:v>
                </c:pt>
                <c:pt idx="3">
                  <c:v>22.876217639210438</c:v>
                </c:pt>
                <c:pt idx="4">
                  <c:v>25.916571931926629</c:v>
                </c:pt>
                <c:pt idx="5">
                  <c:v>27.585078448421463</c:v>
                </c:pt>
                <c:pt idx="6">
                  <c:v>29.361003260935465</c:v>
                </c:pt>
                <c:pt idx="7">
                  <c:v>33.263215318484342</c:v>
                </c:pt>
                <c:pt idx="8">
                  <c:v>35.404698060269787</c:v>
                </c:pt>
                <c:pt idx="9">
                  <c:v>37.684049263941922</c:v>
                </c:pt>
                <c:pt idx="10">
                  <c:v>42.692432325929111</c:v>
                </c:pt>
                <c:pt idx="11">
                  <c:v>45.440967191108406</c:v>
                </c:pt>
                <c:pt idx="12">
                  <c:v>48.366452478025991</c:v>
                </c:pt>
                <c:pt idx="13">
                  <c:v>54.794575943811282</c:v>
                </c:pt>
                <c:pt idx="14">
                  <c:v>58.322245701638842</c:v>
                </c:pt>
                <c:pt idx="15">
                  <c:v>62.077026513908237</c:v>
                </c:pt>
                <c:pt idx="16">
                  <c:v>66.073539769408796</c:v>
                </c:pt>
                <c:pt idx="17">
                  <c:v>74.855016385916869</c:v>
                </c:pt>
                <c:pt idx="20">
                  <c:v>0</c:v>
                </c:pt>
                <c:pt idx="21">
                  <c:v>18.971174378025715</c:v>
                </c:pt>
                <c:pt idx="22">
                  <c:v>24.348986426071331</c:v>
                </c:pt>
                <c:pt idx="23">
                  <c:v>31.251261949483212</c:v>
                </c:pt>
                <c:pt idx="24">
                  <c:v>40.110144888392249</c:v>
                </c:pt>
                <c:pt idx="25">
                  <c:v>51.480280238552837</c:v>
                </c:pt>
                <c:pt idx="26">
                  <c:v>70.32734818059491</c:v>
                </c:pt>
                <c:pt idx="29">
                  <c:v>0</c:v>
                </c:pt>
                <c:pt idx="30">
                  <c:v>79.674175453724402</c:v>
                </c:pt>
                <c:pt idx="31">
                  <c:v>84.803591538925346</c:v>
                </c:pt>
                <c:pt idx="32">
                  <c:v>90.263238959753991</c:v>
                </c:pt>
                <c:pt idx="33">
                  <c:v>96.074377979214745</c:v>
                </c:pt>
                <c:pt idx="34">
                  <c:v>102.25963759408819</c:v>
                </c:pt>
                <c:pt idx="35">
                  <c:v>108.84310365388556</c:v>
                </c:pt>
                <c:pt idx="36">
                  <c:v>115.85041265289368</c:v>
                </c:pt>
                <c:pt idx="37">
                  <c:v>123.30885156054282</c:v>
                </c:pt>
                <c:pt idx="38">
                  <c:v>131.24746407884456</c:v>
                </c:pt>
                <c:pt idx="39">
                  <c:v>139.6971637406738</c:v>
                </c:pt>
                <c:pt idx="40">
                  <c:v>148.69085428930779</c:v>
                </c:pt>
                <c:pt idx="41">
                  <c:v>158.26355780798841</c:v>
                </c:pt>
                <c:pt idx="42">
                  <c:v>168.45255109845468</c:v>
                </c:pt>
                <c:pt idx="43">
                  <c:v>179.29751083951163</c:v>
                </c:pt>
                <c:pt idx="44">
                  <c:v>190.84066809089543</c:v>
                </c:pt>
                <c:pt idx="45">
                  <c:v>203.12697274408248</c:v>
                </c:pt>
                <c:pt idx="46">
                  <c:v>216.20426856042678</c:v>
                </c:pt>
                <c:pt idx="47">
                  <c:v>230.12347947823642</c:v>
                </c:pt>
                <c:pt idx="48">
                  <c:v>244.93880791428242</c:v>
                </c:pt>
                <c:pt idx="49">
                  <c:v>260.70794583194044</c:v>
                </c:pt>
                <c:pt idx="50">
                  <c:v>277.49229939788063</c:v>
                </c:pt>
                <c:pt idx="51">
                  <c:v>295.35722810213304</c:v>
                </c:pt>
                <c:pt idx="52">
                  <c:v>314.37229927268294</c:v>
                </c:pt>
                <c:pt idx="53">
                  <c:v>334.61155897569034</c:v>
                </c:pt>
                <c:pt idx="54">
                  <c:v>356.15382035624219</c:v>
                </c:pt>
                <c:pt idx="55">
                  <c:v>379.08297054245452</c:v>
                </c:pt>
                <c:pt idx="56">
                  <c:v>403.48829730803368</c:v>
                </c:pt>
                <c:pt idx="57">
                  <c:v>429.46483676534194</c:v>
                </c:pt>
                <c:pt idx="58">
                  <c:v>457.11374344291181</c:v>
                </c:pt>
                <c:pt idx="59">
                  <c:v>486.54268418851558</c:v>
                </c:pt>
                <c:pt idx="60">
                  <c:v>517.8662574316794</c:v>
                </c:pt>
                <c:pt idx="61">
                  <c:v>551.20643943827838</c:v>
                </c:pt>
                <c:pt idx="62">
                  <c:v>586.69305929496227</c:v>
                </c:pt>
                <c:pt idx="63">
                  <c:v>624.46430447303408</c:v>
                </c:pt>
                <c:pt idx="64">
                  <c:v>664.66725894048545</c:v>
                </c:pt>
                <c:pt idx="65">
                  <c:v>707.45847591763436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94-4A2A-9F9E-EBED645AB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94168"/>
        <c:axId val="27166514"/>
      </c:scatterChart>
      <c:valAx>
        <c:axId val="769941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166514"/>
        <c:crosses val="autoZero"/>
        <c:crossBetween val="midCat"/>
      </c:valAx>
      <c:valAx>
        <c:axId val="27166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99416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40"/>
            <c:dispRSqr val="0"/>
            <c:dispEq val="0"/>
          </c:trendline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Fit'!$B$6:$B$23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3-45A0-ADC8-4F44024B3F7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'Exponential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'Exponential Fit'!$B$36:$B$71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23-45A0-ADC8-4F44024B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64943"/>
        <c:axId val="1705675503"/>
      </c:scatterChart>
      <c:valAx>
        <c:axId val="159836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75503"/>
        <c:crosses val="autoZero"/>
        <c:crossBetween val="midCat"/>
      </c:valAx>
      <c:valAx>
        <c:axId val="17056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6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'Exponential Fit'!$D$6:$D$23</c:f>
              <c:numCache>
                <c:formatCode>General</c:formatCode>
                <c:ptCount val="18"/>
                <c:pt idx="0">
                  <c:v>4.4463129541013799</c:v>
                </c:pt>
                <c:pt idx="1">
                  <c:v>0.92746316098067538</c:v>
                </c:pt>
                <c:pt idx="2">
                  <c:v>-0.91253050287891213</c:v>
                </c:pt>
                <c:pt idx="3">
                  <c:v>-1.1762176392104386</c:v>
                </c:pt>
                <c:pt idx="4">
                  <c:v>-3.80657193192663</c:v>
                </c:pt>
                <c:pt idx="5">
                  <c:v>-1.3050784484214617</c:v>
                </c:pt>
                <c:pt idx="6">
                  <c:v>-2.1510032609354646</c:v>
                </c:pt>
                <c:pt idx="7">
                  <c:v>-8.3215318484342049E-2</c:v>
                </c:pt>
                <c:pt idx="8">
                  <c:v>-0.66469806026978517</c:v>
                </c:pt>
                <c:pt idx="9">
                  <c:v>-0.21404926394192358</c:v>
                </c:pt>
                <c:pt idx="10">
                  <c:v>-0.81243232592910886</c:v>
                </c:pt>
                <c:pt idx="11">
                  <c:v>0.56903280889159191</c:v>
                </c:pt>
                <c:pt idx="12">
                  <c:v>2.2735475219740096</c:v>
                </c:pt>
                <c:pt idx="13">
                  <c:v>3.2354240561887195</c:v>
                </c:pt>
                <c:pt idx="14">
                  <c:v>0.98775429836116047</c:v>
                </c:pt>
                <c:pt idx="15">
                  <c:v>1.0029734860917614</c:v>
                </c:pt>
                <c:pt idx="16">
                  <c:v>3.2064602305912047</c:v>
                </c:pt>
                <c:pt idx="17">
                  <c:v>-2.7650163859168657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3-4582-952D-BAD6F876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03871"/>
        <c:axId val="1705640943"/>
      </c:scatterChart>
      <c:valAx>
        <c:axId val="190740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40943"/>
        <c:crosses val="autoZero"/>
        <c:crossBetween val="midCat"/>
      </c:valAx>
      <c:valAx>
        <c:axId val="17056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0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Sinusoidal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Fit'!$F$6:$F$23</c:f>
              <c:numCache>
                <c:formatCode>General</c:formatCode>
                <c:ptCount val="18"/>
                <c:pt idx="0">
                  <c:v>0.35865390555244048</c:v>
                </c:pt>
                <c:pt idx="1">
                  <c:v>7.0901522669185368E-2</c:v>
                </c:pt>
                <c:pt idx="2">
                  <c:v>-0.59145299031908039</c:v>
                </c:pt>
                <c:pt idx="3">
                  <c:v>3.9014631872589689E-2</c:v>
                </c:pt>
                <c:pt idx="4">
                  <c:v>-1.6020674799160091</c:v>
                </c:pt>
                <c:pt idx="5">
                  <c:v>1.0309097226920869</c:v>
                </c:pt>
                <c:pt idx="6">
                  <c:v>0.1054942114069668</c:v>
                </c:pt>
                <c:pt idx="7">
                  <c:v>1.4981624322902825</c:v>
                </c:pt>
                <c:pt idx="8">
                  <c:v>0.38845122105404073</c:v>
                </c:pt>
                <c:pt idx="9">
                  <c:v>0.23418543959058269</c:v>
                </c:pt>
                <c:pt idx="10">
                  <c:v>-1.6355044275381516</c:v>
                </c:pt>
                <c:pt idx="11">
                  <c:v>-0.8300720651545177</c:v>
                </c:pt>
                <c:pt idx="12">
                  <c:v>0.4017423050272626</c:v>
                </c:pt>
                <c:pt idx="13">
                  <c:v>0.92793910805748681</c:v>
                </c:pt>
                <c:pt idx="14">
                  <c:v>-1.1804223431698375</c:v>
                </c:pt>
                <c:pt idx="15">
                  <c:v>-0.71873598892348411</c:v>
                </c:pt>
                <c:pt idx="16">
                  <c:v>2.2902721732861124</c:v>
                </c:pt>
                <c:pt idx="17">
                  <c:v>-0.78747137847787485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56-4828-B7EA-C4678432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94936"/>
        <c:axId val="22861557"/>
      </c:scatterChart>
      <c:valAx>
        <c:axId val="767949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61557"/>
        <c:crosses val="autoZero"/>
        <c:crossBetween val="midCat"/>
      </c:valAx>
      <c:valAx>
        <c:axId val="22861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79493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Sinusoidal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Fit'!$D$6:$D$23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8-4F7D-96B3-E608A12B86DB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'Sinusoidal Fit'!$D$27:$D$32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8-4F7D-96B3-E608A12B86DB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Fit'!$D$36:$D$71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8-4F7D-96B3-E608A12B86DB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'Sinusoidal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'Sinusoidal Fit'!$E$6:$E$71</c:f>
              <c:numCache>
                <c:formatCode>General</c:formatCode>
                <c:ptCount val="66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  <c:pt idx="20">
                  <c:v>0</c:v>
                </c:pt>
                <c:pt idx="21">
                  <c:v>21.296289796688793</c:v>
                </c:pt>
                <c:pt idx="22">
                  <c:v>22.511304765705777</c:v>
                </c:pt>
                <c:pt idx="23">
                  <c:v>29.256958267281533</c:v>
                </c:pt>
                <c:pt idx="24">
                  <c:v>40.302006866749409</c:v>
                </c:pt>
                <c:pt idx="25">
                  <c:v>53.671802658238931</c:v>
                </c:pt>
                <c:pt idx="26">
                  <c:v>70.027409256330742</c:v>
                </c:pt>
                <c:pt idx="29">
                  <c:v>0</c:v>
                </c:pt>
                <c:pt idx="30">
                  <c:v>75.507660890253703</c:v>
                </c:pt>
                <c:pt idx="31">
                  <c:v>77.888133459087115</c:v>
                </c:pt>
                <c:pt idx="32">
                  <c:v>79.991780703490519</c:v>
                </c:pt>
                <c:pt idx="33">
                  <c:v>81.79452719816021</c:v>
                </c:pt>
                <c:pt idx="34">
                  <c:v>83.275594249374095</c:v>
                </c:pt>
                <c:pt idx="35">
                  <c:v>84.417727550708307</c:v>
                </c:pt>
                <c:pt idx="36">
                  <c:v>85.207386224829179</c:v>
                </c:pt>
                <c:pt idx="37">
                  <c:v>85.634891180178769</c:v>
                </c:pt>
                <c:pt idx="38">
                  <c:v>85.694531157127571</c:v>
                </c:pt>
                <c:pt idx="39">
                  <c:v>85.384625301730125</c:v>
                </c:pt>
                <c:pt idx="40">
                  <c:v>84.707541581512601</c:v>
                </c:pt>
                <c:pt idx="41">
                  <c:v>83.669670841525061</c:v>
                </c:pt>
                <c:pt idx="42">
                  <c:v>82.28135678490564</c:v>
                </c:pt>
                <c:pt idx="43">
                  <c:v>80.556782645104562</c:v>
                </c:pt>
                <c:pt idx="44">
                  <c:v>78.513815791410252</c:v>
                </c:pt>
                <c:pt idx="45">
                  <c:v>76.173811970312585</c:v>
                </c:pt>
                <c:pt idx="46">
                  <c:v>73.561381327475218</c:v>
                </c:pt>
                <c:pt idx="47">
                  <c:v>70.704118773829791</c:v>
                </c:pt>
                <c:pt idx="48">
                  <c:v>67.632301649957171</c:v>
                </c:pt>
                <c:pt idx="49">
                  <c:v>64.378558001208006</c:v>
                </c:pt>
                <c:pt idx="50">
                  <c:v>60.97750909801006</c:v>
                </c:pt>
                <c:pt idx="51">
                  <c:v>57.465390117984519</c:v>
                </c:pt>
                <c:pt idx="52">
                  <c:v>53.879653145757096</c:v>
                </c:pt>
                <c:pt idx="53">
                  <c:v>50.258556840081738</c:v>
                </c:pt>
                <c:pt idx="54">
                  <c:v>46.640747263968976</c:v>
                </c:pt>
                <c:pt idx="55">
                  <c:v>43.064834470332457</c:v>
                </c:pt>
                <c:pt idx="56">
                  <c:v>39.568969482169649</c:v>
                </c:pt>
                <c:pt idx="57">
                  <c:v>36.190426301970035</c:v>
                </c:pt>
                <c:pt idx="58">
                  <c:v>32.965193529944024</c:v>
                </c:pt>
                <c:pt idx="59">
                  <c:v>29.927580065387708</c:v>
                </c:pt>
                <c:pt idx="60">
                  <c:v>27.10983921120269</c:v>
                </c:pt>
                <c:pt idx="61">
                  <c:v>24.541815299960113</c:v>
                </c:pt>
                <c:pt idx="62">
                  <c:v>22.250616713147529</c:v>
                </c:pt>
                <c:pt idx="63">
                  <c:v>20.260318876068656</c:v>
                </c:pt>
                <c:pt idx="64">
                  <c:v>18.591700482445589</c:v>
                </c:pt>
                <c:pt idx="65">
                  <c:v>17.262015838702197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8-4F7D-96B3-E608A12B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75267"/>
        <c:axId val="85829458"/>
      </c:scatterChart>
      <c:valAx>
        <c:axId val="446752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829458"/>
        <c:crosses val="autoZero"/>
        <c:crossBetween val="midCat"/>
      </c:valAx>
      <c:valAx>
        <c:axId val="85829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67526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Fit'!$D$6:$D$23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8-4B13-BD76-CF0909CDA96F}"/>
            </c:ext>
          </c:extLst>
        </c:ser>
        <c:ser>
          <c:idx val="1"/>
          <c:order val="1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Fit'!$E$6:$E$23</c:f>
              <c:numCache>
                <c:formatCode>General</c:formatCode>
                <c:ptCount val="18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78-4B13-BD76-CF0909CDA96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Fit'!$D$36:$D$71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8-4B13-BD76-CF0909CDA96F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Fit'!$E$36:$E$71</c:f>
              <c:numCache>
                <c:formatCode>General</c:formatCode>
                <c:ptCount val="36"/>
                <c:pt idx="0">
                  <c:v>75.507660890253703</c:v>
                </c:pt>
                <c:pt idx="1">
                  <c:v>77.888133459087115</c:v>
                </c:pt>
                <c:pt idx="2">
                  <c:v>79.991780703490519</c:v>
                </c:pt>
                <c:pt idx="3">
                  <c:v>81.79452719816021</c:v>
                </c:pt>
                <c:pt idx="4">
                  <c:v>83.275594249374095</c:v>
                </c:pt>
                <c:pt idx="5">
                  <c:v>84.417727550708307</c:v>
                </c:pt>
                <c:pt idx="6">
                  <c:v>85.207386224829179</c:v>
                </c:pt>
                <c:pt idx="7">
                  <c:v>85.634891180178769</c:v>
                </c:pt>
                <c:pt idx="8">
                  <c:v>85.694531157127571</c:v>
                </c:pt>
                <c:pt idx="9">
                  <c:v>85.384625301730125</c:v>
                </c:pt>
                <c:pt idx="10">
                  <c:v>84.707541581512601</c:v>
                </c:pt>
                <c:pt idx="11">
                  <c:v>83.669670841525061</c:v>
                </c:pt>
                <c:pt idx="12">
                  <c:v>82.28135678490564</c:v>
                </c:pt>
                <c:pt idx="13">
                  <c:v>80.556782645104562</c:v>
                </c:pt>
                <c:pt idx="14">
                  <c:v>78.513815791410252</c:v>
                </c:pt>
                <c:pt idx="15">
                  <c:v>76.173811970312585</c:v>
                </c:pt>
                <c:pt idx="16">
                  <c:v>73.561381327475218</c:v>
                </c:pt>
                <c:pt idx="17">
                  <c:v>70.704118773829791</c:v>
                </c:pt>
                <c:pt idx="18">
                  <c:v>67.632301649957171</c:v>
                </c:pt>
                <c:pt idx="19">
                  <c:v>64.378558001208006</c:v>
                </c:pt>
                <c:pt idx="20">
                  <c:v>60.97750909801006</c:v>
                </c:pt>
                <c:pt idx="21">
                  <c:v>57.465390117984519</c:v>
                </c:pt>
                <c:pt idx="22">
                  <c:v>53.879653145757096</c:v>
                </c:pt>
                <c:pt idx="23">
                  <c:v>50.258556840081738</c:v>
                </c:pt>
                <c:pt idx="24">
                  <c:v>46.640747263968976</c:v>
                </c:pt>
                <c:pt idx="25">
                  <c:v>43.064834470332457</c:v>
                </c:pt>
                <c:pt idx="26">
                  <c:v>39.568969482169649</c:v>
                </c:pt>
                <c:pt idx="27">
                  <c:v>36.190426301970035</c:v>
                </c:pt>
                <c:pt idx="28">
                  <c:v>32.965193529944024</c:v>
                </c:pt>
                <c:pt idx="29">
                  <c:v>29.927580065387708</c:v>
                </c:pt>
                <c:pt idx="30">
                  <c:v>27.10983921120269</c:v>
                </c:pt>
                <c:pt idx="31">
                  <c:v>24.541815299960113</c:v>
                </c:pt>
                <c:pt idx="32">
                  <c:v>22.250616713147529</c:v>
                </c:pt>
                <c:pt idx="33">
                  <c:v>20.260318876068656</c:v>
                </c:pt>
                <c:pt idx="34">
                  <c:v>18.591700482445589</c:v>
                </c:pt>
                <c:pt idx="35">
                  <c:v>17.262015838702197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78-4B13-BD76-CF0909CD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53055"/>
        <c:axId val="1705694223"/>
      </c:scatterChart>
      <c:valAx>
        <c:axId val="190745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94223"/>
        <c:crosses val="autoZero"/>
        <c:crossBetween val="midCat"/>
      </c:valAx>
      <c:valAx>
        <c:axId val="17056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'Sinusoidal Fit'!$F$6:$F$23</c:f>
              <c:numCache>
                <c:formatCode>General</c:formatCode>
                <c:ptCount val="18"/>
                <c:pt idx="0">
                  <c:v>0.35865390555244048</c:v>
                </c:pt>
                <c:pt idx="1">
                  <c:v>7.0901522669185368E-2</c:v>
                </c:pt>
                <c:pt idx="2">
                  <c:v>-0.59145299031908039</c:v>
                </c:pt>
                <c:pt idx="3">
                  <c:v>3.9014631872589689E-2</c:v>
                </c:pt>
                <c:pt idx="4">
                  <c:v>-1.6020674799160091</c:v>
                </c:pt>
                <c:pt idx="5">
                  <c:v>1.0309097226920869</c:v>
                </c:pt>
                <c:pt idx="6">
                  <c:v>0.1054942114069668</c:v>
                </c:pt>
                <c:pt idx="7">
                  <c:v>1.4981624322902825</c:v>
                </c:pt>
                <c:pt idx="8">
                  <c:v>0.38845122105404073</c:v>
                </c:pt>
                <c:pt idx="9">
                  <c:v>0.23418543959058269</c:v>
                </c:pt>
                <c:pt idx="10">
                  <c:v>-1.6355044275381516</c:v>
                </c:pt>
                <c:pt idx="11">
                  <c:v>-0.8300720651545177</c:v>
                </c:pt>
                <c:pt idx="12">
                  <c:v>0.4017423050272626</c:v>
                </c:pt>
                <c:pt idx="13">
                  <c:v>0.92793910805748681</c:v>
                </c:pt>
                <c:pt idx="14">
                  <c:v>-1.1804223431698375</c:v>
                </c:pt>
                <c:pt idx="15">
                  <c:v>-0.71873598892348411</c:v>
                </c:pt>
                <c:pt idx="16">
                  <c:v>2.2902721732861124</c:v>
                </c:pt>
                <c:pt idx="17">
                  <c:v>-0.78747137847787485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3-4A34-BAD7-9B89B295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5087"/>
        <c:axId val="1705692303"/>
      </c:scatterChart>
      <c:valAx>
        <c:axId val="187024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92303"/>
        <c:crosses val="autoZero"/>
        <c:crossBetween val="midCat"/>
      </c:valAx>
      <c:valAx>
        <c:axId val="17056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MAE by Model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Comparison'!$B$4</c:f>
              <c:strCache>
                <c:ptCount val="1"/>
                <c:pt idx="0">
                  <c:v>Train MAE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Comparison'!$B$5:$B$8</c:f>
              <c:numCache>
                <c:formatCode>General</c:formatCode>
                <c:ptCount val="4"/>
                <c:pt idx="0">
                  <c:v>0.70070792130011328</c:v>
                </c:pt>
                <c:pt idx="1">
                  <c:v>1.2287839233272733</c:v>
                </c:pt>
                <c:pt idx="2">
                  <c:v>1.6966545363941909</c:v>
                </c:pt>
                <c:pt idx="3">
                  <c:v>0.81619185261099958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9-42BA-924B-5F5CDCA4CEB9}"/>
            </c:ext>
          </c:extLst>
        </c:ser>
        <c:ser>
          <c:idx val="1"/>
          <c:order val="1"/>
          <c:tx>
            <c:strRef>
              <c:f>'Model Comparison'!$C$4</c:f>
              <c:strCache>
                <c:ptCount val="1"/>
                <c:pt idx="0">
                  <c:v>Test MAE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Comparison'!$C$5:$C$8</c:f>
              <c:numCache>
                <c:formatCode>General</c:formatCode>
                <c:ptCount val="4"/>
                <c:pt idx="0">
                  <c:v>2.4526751581419011</c:v>
                </c:pt>
                <c:pt idx="1">
                  <c:v>1.7119659610969269</c:v>
                </c:pt>
                <c:pt idx="2">
                  <c:v>1.6069025539763899</c:v>
                </c:pt>
                <c:pt idx="3">
                  <c:v>2.3240711720598468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9-42BA-924B-5F5CDCA4CEB9}"/>
            </c:ext>
          </c:extLst>
        </c:ser>
        <c:ser>
          <c:idx val="2"/>
          <c:order val="2"/>
          <c:tx>
            <c:strRef>
              <c:f>'Model Comparison'!$D$4</c:f>
              <c:strCache>
                <c:ptCount val="1"/>
                <c:pt idx="0">
                  <c:v>Extension MAE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Comparison'!$D$5:$D$8</c:f>
              <c:numCache>
                <c:formatCode>General</c:formatCode>
                <c:ptCount val="4"/>
                <c:pt idx="0">
                  <c:v>632585.21362086944</c:v>
                </c:pt>
                <c:pt idx="1">
                  <c:v>93.569133405079171</c:v>
                </c:pt>
                <c:pt idx="2">
                  <c:v>185.10400465876762</c:v>
                </c:pt>
                <c:pt idx="3">
                  <c:v>45.195239888352404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9-42BA-924B-5F5CDCA4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7113"/>
        <c:axId val="80507077"/>
      </c:barChart>
      <c:catAx>
        <c:axId val="54507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507077"/>
        <c:crosses val="autoZero"/>
        <c:auto val="1"/>
        <c:lblAlgn val="ctr"/>
        <c:lblOffset val="100"/>
        <c:noMultiLvlLbl val="0"/>
      </c:catAx>
      <c:valAx>
        <c:axId val="8050707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MAE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5071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Actual vs Quadratic / Exponential / Sinusoidal (Full Range)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Comparison'!$I$3:$I$62</c:f>
              <c:numCache>
                <c:formatCode>General</c:formatCode>
                <c:ptCount val="60"/>
                <c:pt idx="0">
                  <c:v>22.27</c:v>
                </c:pt>
                <c:pt idx="1">
                  <c:v>16.84</c:v>
                </c:pt>
                <c:pt idx="2">
                  <c:v>21.12</c:v>
                </c:pt>
                <c:pt idx="3">
                  <c:v>20.58</c:v>
                </c:pt>
                <c:pt idx="4">
                  <c:v>21.7</c:v>
                </c:pt>
                <c:pt idx="5">
                  <c:v>23.23</c:v>
                </c:pt>
                <c:pt idx="6">
                  <c:v>22.11</c:v>
                </c:pt>
                <c:pt idx="7">
                  <c:v>26.28</c:v>
                </c:pt>
                <c:pt idx="8">
                  <c:v>27.21</c:v>
                </c:pt>
                <c:pt idx="9">
                  <c:v>35.549999999999997</c:v>
                </c:pt>
                <c:pt idx="10">
                  <c:v>33.18</c:v>
                </c:pt>
                <c:pt idx="11">
                  <c:v>34.74</c:v>
                </c:pt>
                <c:pt idx="12">
                  <c:v>37.47</c:v>
                </c:pt>
                <c:pt idx="13">
                  <c:v>39.619999999999997</c:v>
                </c:pt>
                <c:pt idx="14">
                  <c:v>41.88</c:v>
                </c:pt>
                <c:pt idx="15">
                  <c:v>46.01</c:v>
                </c:pt>
                <c:pt idx="16">
                  <c:v>50.64</c:v>
                </c:pt>
                <c:pt idx="17">
                  <c:v>52.63</c:v>
                </c:pt>
                <c:pt idx="18">
                  <c:v>58.03</c:v>
                </c:pt>
                <c:pt idx="19">
                  <c:v>59.31</c:v>
                </c:pt>
                <c:pt idx="20">
                  <c:v>63.08</c:v>
                </c:pt>
                <c:pt idx="21">
                  <c:v>69.28</c:v>
                </c:pt>
                <c:pt idx="22">
                  <c:v>70.78</c:v>
                </c:pt>
                <c:pt idx="23">
                  <c:v>72.09</c:v>
                </c:pt>
                <c:pt idx="24">
                  <c:v>75.959999999999994</c:v>
                </c:pt>
                <c:pt idx="25">
                  <c:v>80.569999999999993</c:v>
                </c:pt>
                <c:pt idx="26">
                  <c:v>86.49</c:v>
                </c:pt>
                <c:pt idx="27">
                  <c:v>85.03</c:v>
                </c:pt>
                <c:pt idx="28">
                  <c:v>87.94</c:v>
                </c:pt>
                <c:pt idx="29">
                  <c:v>93.28</c:v>
                </c:pt>
                <c:pt idx="30">
                  <c:v>91.87</c:v>
                </c:pt>
                <c:pt idx="31">
                  <c:v>95.55</c:v>
                </c:pt>
                <c:pt idx="32">
                  <c:v>100.38</c:v>
                </c:pt>
                <c:pt idx="33">
                  <c:v>101.82</c:v>
                </c:pt>
                <c:pt idx="34">
                  <c:v>102.65</c:v>
                </c:pt>
                <c:pt idx="35">
                  <c:v>105.71</c:v>
                </c:pt>
                <c:pt idx="36">
                  <c:v>99.2</c:v>
                </c:pt>
                <c:pt idx="37">
                  <c:v>109.5</c:v>
                </c:pt>
                <c:pt idx="38">
                  <c:v>106.04</c:v>
                </c:pt>
                <c:pt idx="39">
                  <c:v>105.34</c:v>
                </c:pt>
                <c:pt idx="40">
                  <c:v>110.89</c:v>
                </c:pt>
                <c:pt idx="41">
                  <c:v>112.67</c:v>
                </c:pt>
                <c:pt idx="42">
                  <c:v>110.43</c:v>
                </c:pt>
                <c:pt idx="43">
                  <c:v>109.28</c:v>
                </c:pt>
                <c:pt idx="44">
                  <c:v>112.41</c:v>
                </c:pt>
                <c:pt idx="45">
                  <c:v>112.46</c:v>
                </c:pt>
                <c:pt idx="46">
                  <c:v>116.44</c:v>
                </c:pt>
                <c:pt idx="47">
                  <c:v>114.86</c:v>
                </c:pt>
                <c:pt idx="48">
                  <c:v>113.48</c:v>
                </c:pt>
                <c:pt idx="49">
                  <c:v>116.02</c:v>
                </c:pt>
                <c:pt idx="50">
                  <c:v>112.52</c:v>
                </c:pt>
                <c:pt idx="51">
                  <c:v>110.61</c:v>
                </c:pt>
                <c:pt idx="52">
                  <c:v>114.93</c:v>
                </c:pt>
                <c:pt idx="53">
                  <c:v>115.14</c:v>
                </c:pt>
                <c:pt idx="54">
                  <c:v>113.17</c:v>
                </c:pt>
                <c:pt idx="55">
                  <c:v>111.92</c:v>
                </c:pt>
                <c:pt idx="56">
                  <c:v>115.37</c:v>
                </c:pt>
                <c:pt idx="57">
                  <c:v>108.04</c:v>
                </c:pt>
                <c:pt idx="58">
                  <c:v>118.27</c:v>
                </c:pt>
                <c:pt idx="59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12-4168-BD3C-44C74D0C0610}"/>
            </c:ext>
          </c:extLst>
        </c:ser>
        <c:ser>
          <c:idx val="1"/>
          <c:order val="1"/>
          <c:tx>
            <c:v>Quadratic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Comparison'!$J$3:$J$62</c:f>
              <c:numCache>
                <c:formatCode>General</c:formatCode>
                <c:ptCount val="60"/>
                <c:pt idx="0">
                  <c:v>19.508184243474528</c:v>
                </c:pt>
                <c:pt idx="1">
                  <c:v>20.00278368344474</c:v>
                </c:pt>
                <c:pt idx="2">
                  <c:v>20.675113978381475</c:v>
                </c:pt>
                <c:pt idx="3">
                  <c:v>21.52517512828474</c:v>
                </c:pt>
                <c:pt idx="4">
                  <c:v>22.552967133154532</c:v>
                </c:pt>
                <c:pt idx="5">
                  <c:v>23.758489992990846</c:v>
                </c:pt>
                <c:pt idx="6">
                  <c:v>25.141743707793687</c:v>
                </c:pt>
                <c:pt idx="7">
                  <c:v>26.702728277563054</c:v>
                </c:pt>
                <c:pt idx="8">
                  <c:v>28.441443702298947</c:v>
                </c:pt>
                <c:pt idx="9">
                  <c:v>30.357889982001367</c:v>
                </c:pt>
                <c:pt idx="10">
                  <c:v>32.452067116670314</c:v>
                </c:pt>
                <c:pt idx="11">
                  <c:v>34.723975106305787</c:v>
                </c:pt>
                <c:pt idx="12">
                  <c:v>37.173613950907779</c:v>
                </c:pt>
                <c:pt idx="13">
                  <c:v>39.800983650476311</c:v>
                </c:pt>
                <c:pt idx="14">
                  <c:v>42.606084205011356</c:v>
                </c:pt>
                <c:pt idx="15">
                  <c:v>45.588915614512928</c:v>
                </c:pt>
                <c:pt idx="16">
                  <c:v>48.749477878981033</c:v>
                </c:pt>
                <c:pt idx="17">
                  <c:v>52.087770998415664</c:v>
                </c:pt>
                <c:pt idx="18">
                  <c:v>55.603794972816814</c:v>
                </c:pt>
                <c:pt idx="19">
                  <c:v>59.297549802184491</c:v>
                </c:pt>
                <c:pt idx="20">
                  <c:v>63.169035486518695</c:v>
                </c:pt>
                <c:pt idx="21">
                  <c:v>67.218252025819424</c:v>
                </c:pt>
                <c:pt idx="22">
                  <c:v>71.445199420086695</c:v>
                </c:pt>
                <c:pt idx="23">
                  <c:v>75.849877669320477</c:v>
                </c:pt>
                <c:pt idx="24">
                  <c:v>80.432286773520786</c:v>
                </c:pt>
                <c:pt idx="25">
                  <c:v>85.192426732687608</c:v>
                </c:pt>
                <c:pt idx="26">
                  <c:v>90.130297546820984</c:v>
                </c:pt>
                <c:pt idx="27">
                  <c:v>95.245899215920872</c:v>
                </c:pt>
                <c:pt idx="28">
                  <c:v>100.53923173998727</c:v>
                </c:pt>
                <c:pt idx="29">
                  <c:v>106.01029511902021</c:v>
                </c:pt>
                <c:pt idx="30">
                  <c:v>111.65908935301968</c:v>
                </c:pt>
                <c:pt idx="31">
                  <c:v>117.48561444198567</c:v>
                </c:pt>
                <c:pt idx="32">
                  <c:v>123.48987038591819</c:v>
                </c:pt>
                <c:pt idx="33">
                  <c:v>129.67185718481724</c:v>
                </c:pt>
                <c:pt idx="34">
                  <c:v>136.03157483868281</c:v>
                </c:pt>
                <c:pt idx="35">
                  <c:v>142.5690233475149</c:v>
                </c:pt>
                <c:pt idx="36">
                  <c:v>149.28420271131353</c:v>
                </c:pt>
                <c:pt idx="37">
                  <c:v>156.17711293007866</c:v>
                </c:pt>
                <c:pt idx="38">
                  <c:v>163.24775400381034</c:v>
                </c:pt>
                <c:pt idx="39">
                  <c:v>170.49612593250853</c:v>
                </c:pt>
                <c:pt idx="40">
                  <c:v>177.92222871617327</c:v>
                </c:pt>
                <c:pt idx="41">
                  <c:v>185.52606235480451</c:v>
                </c:pt>
                <c:pt idx="42">
                  <c:v>193.30762684840229</c:v>
                </c:pt>
                <c:pt idx="43">
                  <c:v>201.26692219696662</c:v>
                </c:pt>
                <c:pt idx="44">
                  <c:v>209.40394840049743</c:v>
                </c:pt>
                <c:pt idx="45">
                  <c:v>217.7187054589948</c:v>
                </c:pt>
                <c:pt idx="46">
                  <c:v>226.21119337245867</c:v>
                </c:pt>
                <c:pt idx="47">
                  <c:v>234.88141214088907</c:v>
                </c:pt>
                <c:pt idx="48">
                  <c:v>243.72936176428601</c:v>
                </c:pt>
                <c:pt idx="49">
                  <c:v>252.75504224264947</c:v>
                </c:pt>
                <c:pt idx="50">
                  <c:v>261.95845357597943</c:v>
                </c:pt>
                <c:pt idx="51">
                  <c:v>271.33959576427594</c:v>
                </c:pt>
                <c:pt idx="52">
                  <c:v>280.89846880753902</c:v>
                </c:pt>
                <c:pt idx="53">
                  <c:v>290.63507270576855</c:v>
                </c:pt>
                <c:pt idx="54">
                  <c:v>300.54940745896465</c:v>
                </c:pt>
                <c:pt idx="55">
                  <c:v>310.64147306712732</c:v>
                </c:pt>
                <c:pt idx="56">
                  <c:v>320.91126953025639</c:v>
                </c:pt>
                <c:pt idx="57">
                  <c:v>331.35879684835209</c:v>
                </c:pt>
                <c:pt idx="58">
                  <c:v>341.98405502141424</c:v>
                </c:pt>
                <c:pt idx="59">
                  <c:v>352.78704404944301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12-4168-BD3C-44C74D0C0610}"/>
            </c:ext>
          </c:extLst>
        </c:ser>
        <c:ser>
          <c:idx val="2"/>
          <c:order val="2"/>
          <c:tx>
            <c:v>Exponential</c:v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Comparison'!$K$3:$K$62</c:f>
              <c:numCache>
                <c:formatCode>General</c:formatCode>
                <c:ptCount val="60"/>
                <c:pt idx="0">
                  <c:v>17.82368704589862</c:v>
                </c:pt>
                <c:pt idx="1">
                  <c:v>18.971174378025715</c:v>
                </c:pt>
                <c:pt idx="2">
                  <c:v>20.192536839019326</c:v>
                </c:pt>
                <c:pt idx="3">
                  <c:v>21.49253050287891</c:v>
                </c:pt>
                <c:pt idx="4">
                  <c:v>22.876217639210438</c:v>
                </c:pt>
                <c:pt idx="5">
                  <c:v>24.348986426071331</c:v>
                </c:pt>
                <c:pt idx="6">
                  <c:v>25.916571931926629</c:v>
                </c:pt>
                <c:pt idx="7">
                  <c:v>27.585078448421463</c:v>
                </c:pt>
                <c:pt idx="8">
                  <c:v>29.361003260935465</c:v>
                </c:pt>
                <c:pt idx="9">
                  <c:v>31.251261949483212</c:v>
                </c:pt>
                <c:pt idx="10">
                  <c:v>33.263215318484342</c:v>
                </c:pt>
                <c:pt idx="11">
                  <c:v>35.404698060269787</c:v>
                </c:pt>
                <c:pt idx="12">
                  <c:v>37.684049263941922</c:v>
                </c:pt>
                <c:pt idx="13">
                  <c:v>40.110144888392249</c:v>
                </c:pt>
                <c:pt idx="14">
                  <c:v>42.692432325929111</c:v>
                </c:pt>
                <c:pt idx="15">
                  <c:v>45.440967191108406</c:v>
                </c:pt>
                <c:pt idx="16">
                  <c:v>48.366452478025991</c:v>
                </c:pt>
                <c:pt idx="17">
                  <c:v>51.480280238552837</c:v>
                </c:pt>
                <c:pt idx="18">
                  <c:v>54.794575943811282</c:v>
                </c:pt>
                <c:pt idx="19">
                  <c:v>58.322245701638842</c:v>
                </c:pt>
                <c:pt idx="20">
                  <c:v>62.077026513908237</c:v>
                </c:pt>
                <c:pt idx="21">
                  <c:v>66.073539769408796</c:v>
                </c:pt>
                <c:pt idx="22">
                  <c:v>70.32734818059491</c:v>
                </c:pt>
                <c:pt idx="23">
                  <c:v>74.855016385916869</c:v>
                </c:pt>
                <c:pt idx="24">
                  <c:v>79.674175453724402</c:v>
                </c:pt>
                <c:pt idx="25">
                  <c:v>84.803591538925346</c:v>
                </c:pt>
                <c:pt idx="26">
                  <c:v>90.263238959753991</c:v>
                </c:pt>
                <c:pt idx="27">
                  <c:v>96.074377979214745</c:v>
                </c:pt>
                <c:pt idx="28">
                  <c:v>102.25963759408819</c:v>
                </c:pt>
                <c:pt idx="29">
                  <c:v>108.84310365388556</c:v>
                </c:pt>
                <c:pt idx="30">
                  <c:v>115.85041265289368</c:v>
                </c:pt>
                <c:pt idx="31">
                  <c:v>123.30885156054282</c:v>
                </c:pt>
                <c:pt idx="32">
                  <c:v>131.24746407884456</c:v>
                </c:pt>
                <c:pt idx="33">
                  <c:v>139.6971637406738</c:v>
                </c:pt>
                <c:pt idx="34">
                  <c:v>148.69085428930779</c:v>
                </c:pt>
                <c:pt idx="35">
                  <c:v>158.26355780798841</c:v>
                </c:pt>
                <c:pt idx="36">
                  <c:v>168.45255109845468</c:v>
                </c:pt>
                <c:pt idx="37">
                  <c:v>179.29751083951163</c:v>
                </c:pt>
                <c:pt idx="38">
                  <c:v>190.84066809089543</c:v>
                </c:pt>
                <c:pt idx="39">
                  <c:v>203.12697274408248</c:v>
                </c:pt>
                <c:pt idx="40">
                  <c:v>216.20426856042678</c:v>
                </c:pt>
                <c:pt idx="41">
                  <c:v>230.12347947823642</c:v>
                </c:pt>
                <c:pt idx="42">
                  <c:v>244.93880791428242</c:v>
                </c:pt>
                <c:pt idx="43">
                  <c:v>260.70794583194044</c:v>
                </c:pt>
                <c:pt idx="44">
                  <c:v>277.49229939788063</c:v>
                </c:pt>
                <c:pt idx="45">
                  <c:v>295.35722810213304</c:v>
                </c:pt>
                <c:pt idx="46">
                  <c:v>314.37229927268294</c:v>
                </c:pt>
                <c:pt idx="47">
                  <c:v>334.61155897569034</c:v>
                </c:pt>
                <c:pt idx="48">
                  <c:v>356.15382035624219</c:v>
                </c:pt>
                <c:pt idx="49">
                  <c:v>379.08297054245452</c:v>
                </c:pt>
                <c:pt idx="50">
                  <c:v>403.48829730803368</c:v>
                </c:pt>
                <c:pt idx="51">
                  <c:v>429.46483676534194</c:v>
                </c:pt>
                <c:pt idx="52">
                  <c:v>457.11374344291181</c:v>
                </c:pt>
                <c:pt idx="53">
                  <c:v>486.54268418851558</c:v>
                </c:pt>
                <c:pt idx="54">
                  <c:v>517.8662574316794</c:v>
                </c:pt>
                <c:pt idx="55">
                  <c:v>551.20643943827838</c:v>
                </c:pt>
                <c:pt idx="56">
                  <c:v>586.69305929496227</c:v>
                </c:pt>
                <c:pt idx="57">
                  <c:v>624.46430447303408</c:v>
                </c:pt>
                <c:pt idx="58">
                  <c:v>664.66725894048545</c:v>
                </c:pt>
                <c:pt idx="59">
                  <c:v>707.45847591763436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12-4168-BD3C-44C74D0C0610}"/>
            </c:ext>
          </c:extLst>
        </c:ser>
        <c:ser>
          <c:idx val="3"/>
          <c:order val="3"/>
          <c:tx>
            <c:v>Sinusoidal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Comparison'!$L$3:$L$62</c:f>
              <c:numCache>
                <c:formatCode>General</c:formatCode>
                <c:ptCount val="60"/>
                <c:pt idx="0">
                  <c:v>21.911346094447559</c:v>
                </c:pt>
                <c:pt idx="1">
                  <c:v>21.296289796688793</c:v>
                </c:pt>
                <c:pt idx="2">
                  <c:v>21.049098477330816</c:v>
                </c:pt>
                <c:pt idx="3">
                  <c:v>21.171452990319079</c:v>
                </c:pt>
                <c:pt idx="4">
                  <c:v>21.66098536812741</c:v>
                </c:pt>
                <c:pt idx="5">
                  <c:v>22.511304765705777</c:v>
                </c:pt>
                <c:pt idx="6">
                  <c:v>23.712067479916008</c:v>
                </c:pt>
                <c:pt idx="7">
                  <c:v>25.249090277307914</c:v>
                </c:pt>
                <c:pt idx="8">
                  <c:v>27.104505788593034</c:v>
                </c:pt>
                <c:pt idx="9">
                  <c:v>29.256958267281533</c:v>
                </c:pt>
                <c:pt idx="10">
                  <c:v>31.681837567709717</c:v>
                </c:pt>
                <c:pt idx="11">
                  <c:v>34.351548778945961</c:v>
                </c:pt>
                <c:pt idx="12">
                  <c:v>37.235814560409416</c:v>
                </c:pt>
                <c:pt idx="13">
                  <c:v>40.302006866749409</c:v>
                </c:pt>
                <c:pt idx="14">
                  <c:v>43.515504427538154</c:v>
                </c:pt>
                <c:pt idx="15">
                  <c:v>46.840072065154516</c:v>
                </c:pt>
                <c:pt idx="16">
                  <c:v>50.238257694972738</c:v>
                </c:pt>
                <c:pt idx="17">
                  <c:v>53.671802658238931</c:v>
                </c:pt>
                <c:pt idx="18">
                  <c:v>57.102060891942514</c:v>
                </c:pt>
                <c:pt idx="19">
                  <c:v>60.49042234316984</c:v>
                </c:pt>
                <c:pt idx="20">
                  <c:v>63.798735988923482</c:v>
                </c:pt>
                <c:pt idx="21">
                  <c:v>66.989727826713889</c:v>
                </c:pt>
                <c:pt idx="22">
                  <c:v>70.027409256330742</c:v>
                </c:pt>
                <c:pt idx="23">
                  <c:v>72.877471378477878</c:v>
                </c:pt>
                <c:pt idx="24">
                  <c:v>75.507660890253703</c:v>
                </c:pt>
                <c:pt idx="25">
                  <c:v>77.888133459087115</c:v>
                </c:pt>
                <c:pt idx="26">
                  <c:v>79.991780703490519</c:v>
                </c:pt>
                <c:pt idx="27">
                  <c:v>81.79452719816021</c:v>
                </c:pt>
                <c:pt idx="28">
                  <c:v>83.275594249374095</c:v>
                </c:pt>
                <c:pt idx="29">
                  <c:v>84.417727550708307</c:v>
                </c:pt>
                <c:pt idx="30">
                  <c:v>85.207386224829179</c:v>
                </c:pt>
                <c:pt idx="31">
                  <c:v>85.634891180178769</c:v>
                </c:pt>
                <c:pt idx="32">
                  <c:v>85.694531157127571</c:v>
                </c:pt>
                <c:pt idx="33">
                  <c:v>85.384625301730125</c:v>
                </c:pt>
                <c:pt idx="34">
                  <c:v>84.707541581512601</c:v>
                </c:pt>
                <c:pt idx="35">
                  <c:v>83.669670841525061</c:v>
                </c:pt>
                <c:pt idx="36">
                  <c:v>82.28135678490564</c:v>
                </c:pt>
                <c:pt idx="37">
                  <c:v>80.556782645104562</c:v>
                </c:pt>
                <c:pt idx="38">
                  <c:v>78.513815791410252</c:v>
                </c:pt>
                <c:pt idx="39">
                  <c:v>76.173811970312585</c:v>
                </c:pt>
                <c:pt idx="40">
                  <c:v>73.561381327475218</c:v>
                </c:pt>
                <c:pt idx="41">
                  <c:v>70.704118773829791</c:v>
                </c:pt>
                <c:pt idx="42">
                  <c:v>67.632301649957171</c:v>
                </c:pt>
                <c:pt idx="43">
                  <c:v>64.378558001208006</c:v>
                </c:pt>
                <c:pt idx="44">
                  <c:v>60.97750909801006</c:v>
                </c:pt>
                <c:pt idx="45">
                  <c:v>57.465390117984519</c:v>
                </c:pt>
                <c:pt idx="46">
                  <c:v>53.879653145757096</c:v>
                </c:pt>
                <c:pt idx="47">
                  <c:v>50.258556840081738</c:v>
                </c:pt>
                <c:pt idx="48">
                  <c:v>46.640747263968976</c:v>
                </c:pt>
                <c:pt idx="49">
                  <c:v>43.064834470332457</c:v>
                </c:pt>
                <c:pt idx="50">
                  <c:v>39.568969482169649</c:v>
                </c:pt>
                <c:pt idx="51">
                  <c:v>36.190426301970035</c:v>
                </c:pt>
                <c:pt idx="52">
                  <c:v>32.965193529944024</c:v>
                </c:pt>
                <c:pt idx="53">
                  <c:v>29.927580065387708</c:v>
                </c:pt>
                <c:pt idx="54">
                  <c:v>27.10983921120269</c:v>
                </c:pt>
                <c:pt idx="55">
                  <c:v>24.541815299960113</c:v>
                </c:pt>
                <c:pt idx="56">
                  <c:v>22.250616713147529</c:v>
                </c:pt>
                <c:pt idx="57">
                  <c:v>20.260318876068656</c:v>
                </c:pt>
                <c:pt idx="58">
                  <c:v>18.591700482445589</c:v>
                </c:pt>
                <c:pt idx="59">
                  <c:v>17.262015838702197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12-4168-BD3C-44C74D0C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135"/>
        <c:axId val="22822677"/>
      </c:scatterChart>
      <c:valAx>
        <c:axId val="789061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22677"/>
        <c:crosses val="autoZero"/>
        <c:crossBetween val="midCat"/>
      </c:valAx>
      <c:valAx>
        <c:axId val="22822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890613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377825</xdr:colOff>
      <xdr:row>4</xdr:row>
      <xdr:rowOff>50800</xdr:rowOff>
    </xdr:from>
    <xdr:to>
      <xdr:col>13</xdr:col>
      <xdr:colOff>123825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80924-9DD5-7260-1D6D-081CFDC3F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</xdr:colOff>
      <xdr:row>4</xdr:row>
      <xdr:rowOff>19050</xdr:rowOff>
    </xdr:from>
    <xdr:to>
      <xdr:col>14</xdr:col>
      <xdr:colOff>384175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502CE-D1A6-9A3F-454E-D552B95D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2225675</xdr:colOff>
      <xdr:row>5</xdr:row>
      <xdr:rowOff>146050</xdr:rowOff>
    </xdr:from>
    <xdr:to>
      <xdr:col>6</xdr:col>
      <xdr:colOff>244475</xdr:colOff>
      <xdr:row>20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2485D6-D220-631F-A440-5D5037065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78</xdr:row>
      <xdr:rowOff>0</xdr:rowOff>
    </xdr:from>
    <xdr:to>
      <xdr:col>22</xdr:col>
      <xdr:colOff>255960</xdr:colOff>
      <xdr:row>93</xdr:row>
      <xdr:rowOff>22320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96</xdr:row>
      <xdr:rowOff>0</xdr:rowOff>
    </xdr:from>
    <xdr:to>
      <xdr:col>24</xdr:col>
      <xdr:colOff>473040</xdr:colOff>
      <xdr:row>114</xdr:row>
      <xdr:rowOff>170640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479425</xdr:colOff>
      <xdr:row>24</xdr:row>
      <xdr:rowOff>6350</xdr:rowOff>
    </xdr:from>
    <xdr:to>
      <xdr:col>12</xdr:col>
      <xdr:colOff>231775</xdr:colOff>
      <xdr:row>38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DF911-CD89-BB7B-9D53-2C4D89757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130175</xdr:colOff>
      <xdr:row>4</xdr:row>
      <xdr:rowOff>101600</xdr:rowOff>
    </xdr:from>
    <xdr:to>
      <xdr:col>10</xdr:col>
      <xdr:colOff>92075</xdr:colOff>
      <xdr:row>19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F341A-89A4-4638-6265-7C775C2D4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78</xdr:row>
      <xdr:rowOff>0</xdr:rowOff>
    </xdr:from>
    <xdr:to>
      <xdr:col>15</xdr:col>
      <xdr:colOff>257760</xdr:colOff>
      <xdr:row>93</xdr:row>
      <xdr:rowOff>22320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17</xdr:col>
      <xdr:colOff>474840</xdr:colOff>
      <xdr:row>114</xdr:row>
      <xdr:rowOff>170640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454025</xdr:colOff>
      <xdr:row>14</xdr:row>
      <xdr:rowOff>31750</xdr:rowOff>
    </xdr:from>
    <xdr:to>
      <xdr:col>12</xdr:col>
      <xdr:colOff>193675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C6245-0B21-9E29-0A99-54AB51C40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60325</xdr:colOff>
      <xdr:row>4</xdr:row>
      <xdr:rowOff>50800</xdr:rowOff>
    </xdr:from>
    <xdr:to>
      <xdr:col>9</xdr:col>
      <xdr:colOff>142875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FA7F1-E2CE-ECE6-2B02-24AE0B4F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78</xdr:row>
      <xdr:rowOff>0</xdr:rowOff>
    </xdr:from>
    <xdr:to>
      <xdr:col>15</xdr:col>
      <xdr:colOff>212040</xdr:colOff>
      <xdr:row>93</xdr:row>
      <xdr:rowOff>22320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17</xdr:col>
      <xdr:colOff>429120</xdr:colOff>
      <xdr:row>114</xdr:row>
      <xdr:rowOff>170640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27</xdr:row>
      <xdr:rowOff>76200</xdr:rowOff>
    </xdr:from>
    <xdr:to>
      <xdr:col>12</xdr:col>
      <xdr:colOff>28575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DF1A7-DE02-46F5-F83F-C995DA298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688975</xdr:colOff>
      <xdr:row>8</xdr:row>
      <xdr:rowOff>133350</xdr:rowOff>
    </xdr:from>
    <xdr:to>
      <xdr:col>8</xdr:col>
      <xdr:colOff>720725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B5614-F609-6679-DD0D-6925B795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433080</xdr:colOff>
      <xdr:row>31</xdr:row>
      <xdr:rowOff>170640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64</xdr:row>
      <xdr:rowOff>0</xdr:rowOff>
    </xdr:from>
    <xdr:to>
      <xdr:col>18</xdr:col>
      <xdr:colOff>248040</xdr:colOff>
      <xdr:row>86</xdr:row>
      <xdr:rowOff>128880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4" zoomScaleNormal="100" workbookViewId="0">
      <selection activeCell="A3" sqref="A3:B21"/>
    </sheetView>
  </sheetViews>
  <sheetFormatPr defaultColWidth="8.6328125" defaultRowHeight="14.5" x14ac:dyDescent="0.35"/>
  <cols>
    <col min="1" max="2" width="10" customWidth="1"/>
  </cols>
  <sheetData>
    <row r="1" spans="1:2" ht="18" x14ac:dyDescent="0.4">
      <c r="A1" s="3" t="s">
        <v>0</v>
      </c>
    </row>
    <row r="2" spans="1:2" x14ac:dyDescent="0.35">
      <c r="A2" s="4" t="s">
        <v>1</v>
      </c>
    </row>
    <row r="3" spans="1:2" x14ac:dyDescent="0.35">
      <c r="A3" s="5" t="s">
        <v>2</v>
      </c>
      <c r="B3" s="5" t="s">
        <v>3</v>
      </c>
    </row>
    <row r="4" spans="1:2" x14ac:dyDescent="0.35">
      <c r="A4" s="6">
        <v>1</v>
      </c>
      <c r="B4" s="6">
        <v>22.27</v>
      </c>
    </row>
    <row r="5" spans="1:2" x14ac:dyDescent="0.35">
      <c r="A5" s="6">
        <v>3</v>
      </c>
      <c r="B5" s="6">
        <v>21.12</v>
      </c>
    </row>
    <row r="6" spans="1:2" x14ac:dyDescent="0.35">
      <c r="A6" s="6">
        <v>4</v>
      </c>
      <c r="B6" s="6">
        <v>20.58</v>
      </c>
    </row>
    <row r="7" spans="1:2" x14ac:dyDescent="0.35">
      <c r="A7" s="6">
        <v>5</v>
      </c>
      <c r="B7" s="6">
        <v>21.7</v>
      </c>
    </row>
    <row r="8" spans="1:2" x14ac:dyDescent="0.35">
      <c r="A8" s="6">
        <v>7</v>
      </c>
      <c r="B8" s="6">
        <v>22.11</v>
      </c>
    </row>
    <row r="9" spans="1:2" x14ac:dyDescent="0.35">
      <c r="A9" s="6">
        <v>8</v>
      </c>
      <c r="B9" s="6">
        <v>26.28</v>
      </c>
    </row>
    <row r="10" spans="1:2" x14ac:dyDescent="0.35">
      <c r="A10" s="6">
        <v>9</v>
      </c>
      <c r="B10" s="6">
        <v>27.21</v>
      </c>
    </row>
    <row r="11" spans="1:2" x14ac:dyDescent="0.35">
      <c r="A11" s="6">
        <v>11</v>
      </c>
      <c r="B11" s="6">
        <v>33.18</v>
      </c>
    </row>
    <row r="12" spans="1:2" x14ac:dyDescent="0.35">
      <c r="A12" s="6">
        <v>12</v>
      </c>
      <c r="B12" s="6">
        <v>34.74</v>
      </c>
    </row>
    <row r="13" spans="1:2" x14ac:dyDescent="0.35">
      <c r="A13" s="6">
        <v>13</v>
      </c>
      <c r="B13" s="6">
        <v>37.47</v>
      </c>
    </row>
    <row r="14" spans="1:2" x14ac:dyDescent="0.35">
      <c r="A14" s="6">
        <v>15</v>
      </c>
      <c r="B14" s="6">
        <v>41.88</v>
      </c>
    </row>
    <row r="15" spans="1:2" x14ac:dyDescent="0.35">
      <c r="A15" s="6">
        <v>16</v>
      </c>
      <c r="B15" s="6">
        <v>46.01</v>
      </c>
    </row>
    <row r="16" spans="1:2" x14ac:dyDescent="0.35">
      <c r="A16" s="6">
        <v>17</v>
      </c>
      <c r="B16" s="6">
        <v>50.64</v>
      </c>
    </row>
    <row r="17" spans="1:2" x14ac:dyDescent="0.35">
      <c r="A17" s="6">
        <v>19</v>
      </c>
      <c r="B17" s="6">
        <v>58.03</v>
      </c>
    </row>
    <row r="18" spans="1:2" x14ac:dyDescent="0.35">
      <c r="A18" s="6">
        <v>20</v>
      </c>
      <c r="B18" s="6">
        <v>59.31</v>
      </c>
    </row>
    <row r="19" spans="1:2" x14ac:dyDescent="0.35">
      <c r="A19" s="6">
        <v>21</v>
      </c>
      <c r="B19" s="6">
        <v>63.08</v>
      </c>
    </row>
    <row r="20" spans="1:2" x14ac:dyDescent="0.35">
      <c r="A20" s="6">
        <v>22</v>
      </c>
      <c r="B20" s="6">
        <v>69.28</v>
      </c>
    </row>
    <row r="21" spans="1:2" x14ac:dyDescent="0.35">
      <c r="A21" s="6">
        <v>24</v>
      </c>
      <c r="B21" s="6">
        <v>72.09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6328125" defaultRowHeight="14.5" x14ac:dyDescent="0.35"/>
  <cols>
    <col min="1" max="2" width="10" customWidth="1"/>
  </cols>
  <sheetData>
    <row r="1" spans="1:2" ht="18" x14ac:dyDescent="0.4">
      <c r="A1" s="3" t="s">
        <v>4</v>
      </c>
    </row>
    <row r="2" spans="1:2" x14ac:dyDescent="0.35">
      <c r="A2" s="4" t="s">
        <v>5</v>
      </c>
    </row>
    <row r="3" spans="1:2" x14ac:dyDescent="0.35">
      <c r="A3" s="5" t="s">
        <v>2</v>
      </c>
      <c r="B3" s="5" t="s">
        <v>3</v>
      </c>
    </row>
    <row r="4" spans="1:2" x14ac:dyDescent="0.35">
      <c r="A4" s="7">
        <v>2</v>
      </c>
      <c r="B4" s="7">
        <v>16.84</v>
      </c>
    </row>
    <row r="5" spans="1:2" x14ac:dyDescent="0.35">
      <c r="A5" s="7">
        <v>6</v>
      </c>
      <c r="B5" s="7">
        <v>23.23</v>
      </c>
    </row>
    <row r="6" spans="1:2" x14ac:dyDescent="0.35">
      <c r="A6" s="7">
        <v>10</v>
      </c>
      <c r="B6" s="7">
        <v>35.549999999999997</v>
      </c>
    </row>
    <row r="7" spans="1:2" x14ac:dyDescent="0.35">
      <c r="A7" s="7">
        <v>14</v>
      </c>
      <c r="B7" s="7">
        <v>39.619999999999997</v>
      </c>
    </row>
    <row r="8" spans="1:2" x14ac:dyDescent="0.35">
      <c r="A8" s="7">
        <v>18</v>
      </c>
      <c r="B8" s="7">
        <v>52.63</v>
      </c>
    </row>
    <row r="9" spans="1:2" x14ac:dyDescent="0.35">
      <c r="A9" s="7">
        <v>23</v>
      </c>
      <c r="B9" s="7">
        <v>70.78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opLeftCell="A34" zoomScaleNormal="100" workbookViewId="0">
      <selection activeCell="A3" sqref="A3:B39"/>
    </sheetView>
  </sheetViews>
  <sheetFormatPr defaultColWidth="8.6328125" defaultRowHeight="14.5" x14ac:dyDescent="0.35"/>
  <cols>
    <col min="1" max="2" width="10" customWidth="1"/>
  </cols>
  <sheetData>
    <row r="1" spans="1:2" ht="18" x14ac:dyDescent="0.4">
      <c r="A1" s="3" t="s">
        <v>6</v>
      </c>
    </row>
    <row r="2" spans="1:2" x14ac:dyDescent="0.35">
      <c r="A2" s="4" t="s">
        <v>7</v>
      </c>
    </row>
    <row r="3" spans="1:2" x14ac:dyDescent="0.35">
      <c r="A3" s="5" t="s">
        <v>2</v>
      </c>
      <c r="B3" s="5" t="s">
        <v>3</v>
      </c>
    </row>
    <row r="4" spans="1:2" x14ac:dyDescent="0.35">
      <c r="A4" s="8">
        <v>25</v>
      </c>
      <c r="B4" s="8">
        <v>75.959999999999994</v>
      </c>
    </row>
    <row r="5" spans="1:2" x14ac:dyDescent="0.35">
      <c r="A5" s="8">
        <v>26</v>
      </c>
      <c r="B5" s="8">
        <v>80.569999999999993</v>
      </c>
    </row>
    <row r="6" spans="1:2" x14ac:dyDescent="0.35">
      <c r="A6" s="8">
        <v>27</v>
      </c>
      <c r="B6" s="8">
        <v>86.49</v>
      </c>
    </row>
    <row r="7" spans="1:2" x14ac:dyDescent="0.35">
      <c r="A7" s="8">
        <v>28</v>
      </c>
      <c r="B7" s="8">
        <v>85.03</v>
      </c>
    </row>
    <row r="8" spans="1:2" x14ac:dyDescent="0.35">
      <c r="A8" s="8">
        <v>29</v>
      </c>
      <c r="B8" s="8">
        <v>87.94</v>
      </c>
    </row>
    <row r="9" spans="1:2" x14ac:dyDescent="0.35">
      <c r="A9" s="8">
        <v>30</v>
      </c>
      <c r="B9" s="8">
        <v>93.28</v>
      </c>
    </row>
    <row r="10" spans="1:2" x14ac:dyDescent="0.35">
      <c r="A10" s="8">
        <v>31</v>
      </c>
      <c r="B10" s="8">
        <v>91.87</v>
      </c>
    </row>
    <row r="11" spans="1:2" x14ac:dyDescent="0.35">
      <c r="A11" s="8">
        <v>32</v>
      </c>
      <c r="B11" s="8">
        <v>95.55</v>
      </c>
    </row>
    <row r="12" spans="1:2" x14ac:dyDescent="0.35">
      <c r="A12" s="8">
        <v>33</v>
      </c>
      <c r="B12" s="8">
        <v>100.38</v>
      </c>
    </row>
    <row r="13" spans="1:2" x14ac:dyDescent="0.35">
      <c r="A13" s="8">
        <v>34</v>
      </c>
      <c r="B13" s="8">
        <v>101.82</v>
      </c>
    </row>
    <row r="14" spans="1:2" x14ac:dyDescent="0.35">
      <c r="A14" s="8">
        <v>35</v>
      </c>
      <c r="B14" s="8">
        <v>102.65</v>
      </c>
    </row>
    <row r="15" spans="1:2" x14ac:dyDescent="0.35">
      <c r="A15" s="8">
        <v>36</v>
      </c>
      <c r="B15" s="8">
        <v>105.71</v>
      </c>
    </row>
    <row r="16" spans="1:2" x14ac:dyDescent="0.35">
      <c r="A16" s="8">
        <v>37</v>
      </c>
      <c r="B16" s="8">
        <v>99.2</v>
      </c>
    </row>
    <row r="17" spans="1:2" x14ac:dyDescent="0.35">
      <c r="A17" s="8">
        <v>38</v>
      </c>
      <c r="B17" s="8">
        <v>109.5</v>
      </c>
    </row>
    <row r="18" spans="1:2" x14ac:dyDescent="0.35">
      <c r="A18" s="8">
        <v>39</v>
      </c>
      <c r="B18" s="8">
        <v>106.04</v>
      </c>
    </row>
    <row r="19" spans="1:2" x14ac:dyDescent="0.35">
      <c r="A19" s="8">
        <v>40</v>
      </c>
      <c r="B19" s="8">
        <v>105.34</v>
      </c>
    </row>
    <row r="20" spans="1:2" x14ac:dyDescent="0.35">
      <c r="A20" s="8">
        <v>41</v>
      </c>
      <c r="B20" s="8">
        <v>110.89</v>
      </c>
    </row>
    <row r="21" spans="1:2" x14ac:dyDescent="0.35">
      <c r="A21" s="8">
        <v>42</v>
      </c>
      <c r="B21" s="8">
        <v>112.67</v>
      </c>
    </row>
    <row r="22" spans="1:2" x14ac:dyDescent="0.35">
      <c r="A22" s="8">
        <v>43</v>
      </c>
      <c r="B22" s="8">
        <v>110.43</v>
      </c>
    </row>
    <row r="23" spans="1:2" x14ac:dyDescent="0.35">
      <c r="A23" s="8">
        <v>44</v>
      </c>
      <c r="B23" s="8">
        <v>109.28</v>
      </c>
    </row>
    <row r="24" spans="1:2" x14ac:dyDescent="0.35">
      <c r="A24" s="8">
        <v>45</v>
      </c>
      <c r="B24" s="8">
        <v>112.41</v>
      </c>
    </row>
    <row r="25" spans="1:2" x14ac:dyDescent="0.35">
      <c r="A25" s="8">
        <v>46</v>
      </c>
      <c r="B25" s="8">
        <v>112.46</v>
      </c>
    </row>
    <row r="26" spans="1:2" x14ac:dyDescent="0.35">
      <c r="A26" s="8">
        <v>47</v>
      </c>
      <c r="B26" s="8">
        <v>116.44</v>
      </c>
    </row>
    <row r="27" spans="1:2" x14ac:dyDescent="0.35">
      <c r="A27" s="8">
        <v>48</v>
      </c>
      <c r="B27" s="8">
        <v>114.86</v>
      </c>
    </row>
    <row r="28" spans="1:2" x14ac:dyDescent="0.35">
      <c r="A28" s="8">
        <v>49</v>
      </c>
      <c r="B28" s="8">
        <v>113.48</v>
      </c>
    </row>
    <row r="29" spans="1:2" x14ac:dyDescent="0.35">
      <c r="A29" s="8">
        <v>50</v>
      </c>
      <c r="B29" s="8">
        <v>116.02</v>
      </c>
    </row>
    <row r="30" spans="1:2" x14ac:dyDescent="0.35">
      <c r="A30" s="8">
        <v>51</v>
      </c>
      <c r="B30" s="8">
        <v>112.52</v>
      </c>
    </row>
    <row r="31" spans="1:2" x14ac:dyDescent="0.35">
      <c r="A31" s="8">
        <v>52</v>
      </c>
      <c r="B31" s="8">
        <v>110.61</v>
      </c>
    </row>
    <row r="32" spans="1:2" x14ac:dyDescent="0.35">
      <c r="A32" s="8">
        <v>53</v>
      </c>
      <c r="B32" s="8">
        <v>114.93</v>
      </c>
    </row>
    <row r="33" spans="1:2" x14ac:dyDescent="0.35">
      <c r="A33" s="8">
        <v>54</v>
      </c>
      <c r="B33" s="8">
        <v>115.14</v>
      </c>
    </row>
    <row r="34" spans="1:2" x14ac:dyDescent="0.35">
      <c r="A34" s="8">
        <v>55</v>
      </c>
      <c r="B34" s="8">
        <v>113.17</v>
      </c>
    </row>
    <row r="35" spans="1:2" x14ac:dyDescent="0.35">
      <c r="A35" s="8">
        <v>56</v>
      </c>
      <c r="B35" s="8">
        <v>111.92</v>
      </c>
    </row>
    <row r="36" spans="1:2" x14ac:dyDescent="0.35">
      <c r="A36" s="8">
        <v>57</v>
      </c>
      <c r="B36" s="8">
        <v>115.37</v>
      </c>
    </row>
    <row r="37" spans="1:2" x14ac:dyDescent="0.35">
      <c r="A37" s="8">
        <v>58</v>
      </c>
      <c r="B37" s="8">
        <v>108.04</v>
      </c>
    </row>
    <row r="38" spans="1:2" x14ac:dyDescent="0.35">
      <c r="A38" s="8">
        <v>59</v>
      </c>
      <c r="B38" s="8">
        <v>118.27</v>
      </c>
    </row>
    <row r="39" spans="1:2" x14ac:dyDescent="0.35">
      <c r="A39" s="8">
        <v>60</v>
      </c>
      <c r="B39" s="8">
        <v>118.72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zoomScaleNormal="100" workbookViewId="0">
      <selection activeCell="A5" sqref="A5"/>
    </sheetView>
  </sheetViews>
  <sheetFormatPr defaultColWidth="8.6328125" defaultRowHeight="14.5" x14ac:dyDescent="0.35"/>
  <cols>
    <col min="1" max="1" width="42.81640625" bestFit="1" customWidth="1"/>
    <col min="2" max="2" width="9" customWidth="1"/>
    <col min="3" max="3" width="10" customWidth="1"/>
    <col min="4" max="4" width="11" customWidth="1"/>
    <col min="5" max="5" width="10" customWidth="1"/>
    <col min="6" max="6" width="11" customWidth="1"/>
  </cols>
  <sheetData>
    <row r="1" spans="1:10" ht="18" x14ac:dyDescent="0.4">
      <c r="A1" s="3" t="s">
        <v>8</v>
      </c>
      <c r="H1" s="9" t="s">
        <v>9</v>
      </c>
    </row>
    <row r="2" spans="1:10" x14ac:dyDescent="0.35">
      <c r="H2" s="10" t="s">
        <v>10</v>
      </c>
      <c r="I2" s="10" t="s">
        <v>11</v>
      </c>
      <c r="J2" s="10" t="s">
        <v>12</v>
      </c>
    </row>
    <row r="3" spans="1:10" x14ac:dyDescent="0.35">
      <c r="H3" s="11">
        <f t="array" ref="H3:J3">LINEST(C6:C23,A6:B23,TRUE(),FALSE())</f>
        <v>8.8865427483262996E-2</v>
      </c>
      <c r="I3" s="11">
        <v>0.22800315752042263</v>
      </c>
      <c r="J3" s="11">
        <v>19.191315658470842</v>
      </c>
    </row>
    <row r="4" spans="1:10" x14ac:dyDescent="0.35">
      <c r="A4" s="9" t="s">
        <v>13</v>
      </c>
    </row>
    <row r="5" spans="1:10" x14ac:dyDescent="0.35">
      <c r="A5" s="5" t="s">
        <v>2</v>
      </c>
      <c r="B5" s="5" t="s">
        <v>14</v>
      </c>
      <c r="C5" s="5" t="s">
        <v>3</v>
      </c>
      <c r="D5" s="5" t="s">
        <v>15</v>
      </c>
      <c r="E5" s="5" t="s">
        <v>16</v>
      </c>
      <c r="F5" s="5" t="s">
        <v>17</v>
      </c>
    </row>
    <row r="6" spans="1:10" x14ac:dyDescent="0.35">
      <c r="A6" s="6">
        <f>'Training Data'!A4</f>
        <v>1</v>
      </c>
      <c r="B6" s="6">
        <f t="shared" ref="B6:B23" si="0">A6^2</f>
        <v>1</v>
      </c>
      <c r="C6" s="6">
        <f>'Training Data'!B4</f>
        <v>22.27</v>
      </c>
      <c r="D6" s="6">
        <f t="shared" ref="D6:D23" si="1">$J$3+$I$3*A6+$H$3*A6^2</f>
        <v>19.508184243474528</v>
      </c>
      <c r="E6" s="6">
        <f t="shared" ref="E6:E23" si="2">C6-D6</f>
        <v>2.761815756525472</v>
      </c>
      <c r="F6" s="6">
        <f t="shared" ref="F6:F23" si="3">ABS(E6)</f>
        <v>2.761815756525472</v>
      </c>
    </row>
    <row r="7" spans="1:10" x14ac:dyDescent="0.35">
      <c r="A7" s="6">
        <f>'Training Data'!A5</f>
        <v>3</v>
      </c>
      <c r="B7" s="6">
        <f t="shared" si="0"/>
        <v>9</v>
      </c>
      <c r="C7" s="6">
        <f>'Training Data'!B5</f>
        <v>21.12</v>
      </c>
      <c r="D7" s="6">
        <f t="shared" si="1"/>
        <v>20.675113978381475</v>
      </c>
      <c r="E7" s="6">
        <f t="shared" si="2"/>
        <v>0.44488602161852597</v>
      </c>
      <c r="F7" s="6">
        <f t="shared" si="3"/>
        <v>0.44488602161852597</v>
      </c>
    </row>
    <row r="8" spans="1:10" x14ac:dyDescent="0.35">
      <c r="A8" s="6">
        <f>'Training Data'!A6</f>
        <v>4</v>
      </c>
      <c r="B8" s="6">
        <f t="shared" si="0"/>
        <v>16</v>
      </c>
      <c r="C8" s="6">
        <f>'Training Data'!B6</f>
        <v>20.58</v>
      </c>
      <c r="D8" s="6">
        <f t="shared" si="1"/>
        <v>21.52517512828474</v>
      </c>
      <c r="E8" s="6">
        <f t="shared" si="2"/>
        <v>-0.94517512828474182</v>
      </c>
      <c r="F8" s="6">
        <f t="shared" si="3"/>
        <v>0.94517512828474182</v>
      </c>
    </row>
    <row r="9" spans="1:10" x14ac:dyDescent="0.35">
      <c r="A9" s="6">
        <f>'Training Data'!A7</f>
        <v>5</v>
      </c>
      <c r="B9" s="6">
        <f t="shared" si="0"/>
        <v>25</v>
      </c>
      <c r="C9" s="6">
        <f>'Training Data'!B7</f>
        <v>21.7</v>
      </c>
      <c r="D9" s="6">
        <f t="shared" si="1"/>
        <v>22.552967133154532</v>
      </c>
      <c r="E9" s="6">
        <f t="shared" si="2"/>
        <v>-0.85296713315453232</v>
      </c>
      <c r="F9" s="6">
        <f t="shared" si="3"/>
        <v>0.85296713315453232</v>
      </c>
    </row>
    <row r="10" spans="1:10" x14ac:dyDescent="0.35">
      <c r="A10" s="6">
        <f>'Training Data'!A8</f>
        <v>7</v>
      </c>
      <c r="B10" s="6">
        <f t="shared" si="0"/>
        <v>49</v>
      </c>
      <c r="C10" s="6">
        <f>'Training Data'!B8</f>
        <v>22.11</v>
      </c>
      <c r="D10" s="6">
        <f t="shared" si="1"/>
        <v>25.141743707793687</v>
      </c>
      <c r="E10" s="6">
        <f t="shared" si="2"/>
        <v>-3.0317437077936873</v>
      </c>
      <c r="F10" s="6">
        <f t="shared" si="3"/>
        <v>3.0317437077936873</v>
      </c>
    </row>
    <row r="11" spans="1:10" x14ac:dyDescent="0.35">
      <c r="A11" s="6">
        <f>'Training Data'!A9</f>
        <v>8</v>
      </c>
      <c r="B11" s="6">
        <f t="shared" si="0"/>
        <v>64</v>
      </c>
      <c r="C11" s="6">
        <f>'Training Data'!B9</f>
        <v>26.28</v>
      </c>
      <c r="D11" s="6">
        <f t="shared" si="1"/>
        <v>26.702728277563054</v>
      </c>
      <c r="E11" s="6">
        <f t="shared" si="2"/>
        <v>-0.42272827756305276</v>
      </c>
      <c r="F11" s="6">
        <f t="shared" si="3"/>
        <v>0.42272827756305276</v>
      </c>
    </row>
    <row r="12" spans="1:10" x14ac:dyDescent="0.35">
      <c r="A12" s="6">
        <f>'Training Data'!A10</f>
        <v>9</v>
      </c>
      <c r="B12" s="6">
        <f t="shared" si="0"/>
        <v>81</v>
      </c>
      <c r="C12" s="6">
        <f>'Training Data'!B10</f>
        <v>27.21</v>
      </c>
      <c r="D12" s="6">
        <f t="shared" si="1"/>
        <v>28.441443702298947</v>
      </c>
      <c r="E12" s="6">
        <f t="shared" si="2"/>
        <v>-1.2314437022989466</v>
      </c>
      <c r="F12" s="6">
        <f t="shared" si="3"/>
        <v>1.2314437022989466</v>
      </c>
    </row>
    <row r="13" spans="1:10" x14ac:dyDescent="0.35">
      <c r="A13" s="6">
        <f>'Training Data'!A11</f>
        <v>11</v>
      </c>
      <c r="B13" s="6">
        <f t="shared" si="0"/>
        <v>121</v>
      </c>
      <c r="C13" s="6">
        <f>'Training Data'!B11</f>
        <v>33.18</v>
      </c>
      <c r="D13" s="6">
        <f t="shared" si="1"/>
        <v>32.452067116670314</v>
      </c>
      <c r="E13" s="6">
        <f t="shared" si="2"/>
        <v>0.72793288332968586</v>
      </c>
      <c r="F13" s="6">
        <f t="shared" si="3"/>
        <v>0.72793288332968586</v>
      </c>
    </row>
    <row r="14" spans="1:10" x14ac:dyDescent="0.35">
      <c r="A14" s="6">
        <f>'Training Data'!A12</f>
        <v>12</v>
      </c>
      <c r="B14" s="6">
        <f t="shared" si="0"/>
        <v>144</v>
      </c>
      <c r="C14" s="6">
        <f>'Training Data'!B12</f>
        <v>34.74</v>
      </c>
      <c r="D14" s="6">
        <f t="shared" si="1"/>
        <v>34.723975106305787</v>
      </c>
      <c r="E14" s="6">
        <f t="shared" si="2"/>
        <v>1.6024893694215336E-2</v>
      </c>
      <c r="F14" s="6">
        <f t="shared" si="3"/>
        <v>1.6024893694215336E-2</v>
      </c>
    </row>
    <row r="15" spans="1:10" x14ac:dyDescent="0.35">
      <c r="A15" s="6">
        <f>'Training Data'!A13</f>
        <v>13</v>
      </c>
      <c r="B15" s="6">
        <f t="shared" si="0"/>
        <v>169</v>
      </c>
      <c r="C15" s="6">
        <f>'Training Data'!B13</f>
        <v>37.47</v>
      </c>
      <c r="D15" s="6">
        <f t="shared" si="1"/>
        <v>37.173613950907779</v>
      </c>
      <c r="E15" s="6">
        <f t="shared" si="2"/>
        <v>0.29638604909222011</v>
      </c>
      <c r="F15" s="6">
        <f t="shared" si="3"/>
        <v>0.29638604909222011</v>
      </c>
    </row>
    <row r="16" spans="1:10" x14ac:dyDescent="0.35">
      <c r="A16" s="6">
        <f>'Training Data'!A14</f>
        <v>15</v>
      </c>
      <c r="B16" s="6">
        <f t="shared" si="0"/>
        <v>225</v>
      </c>
      <c r="C16" s="6">
        <f>'Training Data'!B14</f>
        <v>41.88</v>
      </c>
      <c r="D16" s="6">
        <f t="shared" si="1"/>
        <v>42.606084205011356</v>
      </c>
      <c r="E16" s="6">
        <f t="shared" si="2"/>
        <v>-0.72608420501135384</v>
      </c>
      <c r="F16" s="6">
        <f t="shared" si="3"/>
        <v>0.72608420501135384</v>
      </c>
    </row>
    <row r="17" spans="1:6" x14ac:dyDescent="0.35">
      <c r="A17" s="6">
        <f>'Training Data'!A15</f>
        <v>16</v>
      </c>
      <c r="B17" s="6">
        <f t="shared" si="0"/>
        <v>256</v>
      </c>
      <c r="C17" s="6">
        <f>'Training Data'!B15</f>
        <v>46.01</v>
      </c>
      <c r="D17" s="6">
        <f t="shared" si="1"/>
        <v>45.588915614512928</v>
      </c>
      <c r="E17" s="6">
        <f t="shared" si="2"/>
        <v>0.42108438548707028</v>
      </c>
      <c r="F17" s="6">
        <f t="shared" si="3"/>
        <v>0.42108438548707028</v>
      </c>
    </row>
    <row r="18" spans="1:6" x14ac:dyDescent="0.35">
      <c r="A18" s="6">
        <f>'Training Data'!A16</f>
        <v>17</v>
      </c>
      <c r="B18" s="6">
        <f t="shared" si="0"/>
        <v>289</v>
      </c>
      <c r="C18" s="6">
        <f>'Training Data'!B16</f>
        <v>50.64</v>
      </c>
      <c r="D18" s="6">
        <f t="shared" si="1"/>
        <v>48.749477878981033</v>
      </c>
      <c r="E18" s="6">
        <f t="shared" si="2"/>
        <v>1.890522121018968</v>
      </c>
      <c r="F18" s="6">
        <f t="shared" si="3"/>
        <v>1.890522121018968</v>
      </c>
    </row>
    <row r="19" spans="1:6" x14ac:dyDescent="0.35">
      <c r="A19" s="6">
        <f>'Training Data'!A17</f>
        <v>19</v>
      </c>
      <c r="B19" s="6">
        <f t="shared" si="0"/>
        <v>361</v>
      </c>
      <c r="C19" s="6">
        <f>'Training Data'!B17</f>
        <v>58.03</v>
      </c>
      <c r="D19" s="6">
        <f t="shared" si="1"/>
        <v>55.603794972816814</v>
      </c>
      <c r="E19" s="6">
        <f t="shared" si="2"/>
        <v>2.4262050271831868</v>
      </c>
      <c r="F19" s="6">
        <f t="shared" si="3"/>
        <v>2.4262050271831868</v>
      </c>
    </row>
    <row r="20" spans="1:6" x14ac:dyDescent="0.35">
      <c r="A20" s="6">
        <f>'Training Data'!A18</f>
        <v>20</v>
      </c>
      <c r="B20" s="6">
        <f t="shared" si="0"/>
        <v>400</v>
      </c>
      <c r="C20" s="6">
        <f>'Training Data'!B18</f>
        <v>59.31</v>
      </c>
      <c r="D20" s="6">
        <f t="shared" si="1"/>
        <v>59.297549802184491</v>
      </c>
      <c r="E20" s="6">
        <f t="shared" si="2"/>
        <v>1.2450197815510933E-2</v>
      </c>
      <c r="F20" s="6">
        <f t="shared" si="3"/>
        <v>1.2450197815510933E-2</v>
      </c>
    </row>
    <row r="21" spans="1:6" x14ac:dyDescent="0.35">
      <c r="A21" s="6">
        <f>'Training Data'!A19</f>
        <v>21</v>
      </c>
      <c r="B21" s="6">
        <f t="shared" si="0"/>
        <v>441</v>
      </c>
      <c r="C21" s="6">
        <f>'Training Data'!B19</f>
        <v>63.08</v>
      </c>
      <c r="D21" s="6">
        <f t="shared" si="1"/>
        <v>63.169035486518695</v>
      </c>
      <c r="E21" s="6">
        <f t="shared" si="2"/>
        <v>-8.9035486518696416E-2</v>
      </c>
      <c r="F21" s="6">
        <f t="shared" si="3"/>
        <v>8.9035486518696416E-2</v>
      </c>
    </row>
    <row r="22" spans="1:6" x14ac:dyDescent="0.35">
      <c r="A22" s="6">
        <f>'Training Data'!A20</f>
        <v>22</v>
      </c>
      <c r="B22" s="6">
        <f t="shared" si="0"/>
        <v>484</v>
      </c>
      <c r="C22" s="6">
        <f>'Training Data'!B20</f>
        <v>69.28</v>
      </c>
      <c r="D22" s="6">
        <f t="shared" si="1"/>
        <v>67.218252025819424</v>
      </c>
      <c r="E22" s="6">
        <f t="shared" si="2"/>
        <v>2.0617479741805766</v>
      </c>
      <c r="F22" s="6">
        <f t="shared" si="3"/>
        <v>2.0617479741805766</v>
      </c>
    </row>
    <row r="23" spans="1:6" x14ac:dyDescent="0.35">
      <c r="A23" s="6">
        <f>'Training Data'!A21</f>
        <v>24</v>
      </c>
      <c r="B23" s="6">
        <f t="shared" si="0"/>
        <v>576</v>
      </c>
      <c r="C23" s="6">
        <f>'Training Data'!B21</f>
        <v>72.09</v>
      </c>
      <c r="D23" s="6">
        <f t="shared" si="1"/>
        <v>75.849877669320477</v>
      </c>
      <c r="E23" s="6">
        <f t="shared" si="2"/>
        <v>-3.7598776693204741</v>
      </c>
      <c r="F23" s="6">
        <f t="shared" si="3"/>
        <v>3.7598776693204741</v>
      </c>
    </row>
    <row r="25" spans="1:6" x14ac:dyDescent="0.35">
      <c r="A25" s="9" t="s">
        <v>18</v>
      </c>
    </row>
    <row r="26" spans="1:6" x14ac:dyDescent="0.35">
      <c r="A26" s="5" t="s">
        <v>2</v>
      </c>
      <c r="B26" s="5" t="s">
        <v>14</v>
      </c>
      <c r="C26" s="5" t="s">
        <v>3</v>
      </c>
      <c r="D26" s="5" t="s">
        <v>15</v>
      </c>
      <c r="E26" s="5" t="s">
        <v>16</v>
      </c>
      <c r="F26" s="5" t="s">
        <v>17</v>
      </c>
    </row>
    <row r="27" spans="1:6" x14ac:dyDescent="0.35">
      <c r="A27" s="7">
        <f>'Test Data'!A4</f>
        <v>2</v>
      </c>
      <c r="B27" s="7">
        <f t="shared" ref="B27:B32" si="4">A27^2</f>
        <v>4</v>
      </c>
      <c r="C27" s="7">
        <f>'Test Data'!B4</f>
        <v>16.84</v>
      </c>
      <c r="D27" s="7">
        <f t="shared" ref="D27:D32" si="5">$J$3+$I$3*A27+$H$3*A27^2</f>
        <v>20.00278368344474</v>
      </c>
      <c r="E27" s="7">
        <f t="shared" ref="E27:E32" si="6">C27-D27</f>
        <v>-3.16278368344474</v>
      </c>
      <c r="F27" s="7">
        <f t="shared" ref="F27:F32" si="7">ABS(E27)</f>
        <v>3.16278368344474</v>
      </c>
    </row>
    <row r="28" spans="1:6" x14ac:dyDescent="0.35">
      <c r="A28" s="7">
        <f>'Test Data'!A5</f>
        <v>6</v>
      </c>
      <c r="B28" s="7">
        <f t="shared" si="4"/>
        <v>36</v>
      </c>
      <c r="C28" s="7">
        <f>'Test Data'!B5</f>
        <v>23.23</v>
      </c>
      <c r="D28" s="7">
        <f t="shared" si="5"/>
        <v>23.758489992990846</v>
      </c>
      <c r="E28" s="7">
        <f t="shared" si="6"/>
        <v>-0.52848999299084554</v>
      </c>
      <c r="F28" s="7">
        <f t="shared" si="7"/>
        <v>0.52848999299084554</v>
      </c>
    </row>
    <row r="29" spans="1:6" x14ac:dyDescent="0.35">
      <c r="A29" s="7">
        <f>'Test Data'!A6</f>
        <v>10</v>
      </c>
      <c r="B29" s="7">
        <f t="shared" si="4"/>
        <v>100</v>
      </c>
      <c r="C29" s="7">
        <f>'Test Data'!B6</f>
        <v>35.549999999999997</v>
      </c>
      <c r="D29" s="7">
        <f t="shared" si="5"/>
        <v>30.357889982001367</v>
      </c>
      <c r="E29" s="7">
        <f t="shared" si="6"/>
        <v>5.1921100179986297</v>
      </c>
      <c r="F29" s="7">
        <f t="shared" si="7"/>
        <v>5.1921100179986297</v>
      </c>
    </row>
    <row r="30" spans="1:6" x14ac:dyDescent="0.35">
      <c r="A30" s="7">
        <f>'Test Data'!A7</f>
        <v>14</v>
      </c>
      <c r="B30" s="7">
        <f t="shared" si="4"/>
        <v>196</v>
      </c>
      <c r="C30" s="7">
        <f>'Test Data'!B7</f>
        <v>39.619999999999997</v>
      </c>
      <c r="D30" s="7">
        <f t="shared" si="5"/>
        <v>39.800983650476311</v>
      </c>
      <c r="E30" s="7">
        <f t="shared" si="6"/>
        <v>-0.18098365047631404</v>
      </c>
      <c r="F30" s="7">
        <f t="shared" si="7"/>
        <v>0.18098365047631404</v>
      </c>
    </row>
    <row r="31" spans="1:6" x14ac:dyDescent="0.35">
      <c r="A31" s="7">
        <f>'Test Data'!A8</f>
        <v>18</v>
      </c>
      <c r="B31" s="7">
        <f t="shared" si="4"/>
        <v>324</v>
      </c>
      <c r="C31" s="7">
        <f>'Test Data'!B8</f>
        <v>52.63</v>
      </c>
      <c r="D31" s="7">
        <f t="shared" si="5"/>
        <v>52.087770998415664</v>
      </c>
      <c r="E31" s="7">
        <f t="shared" si="6"/>
        <v>0.54222900158433873</v>
      </c>
      <c r="F31" s="7">
        <f t="shared" si="7"/>
        <v>0.54222900158433873</v>
      </c>
    </row>
    <row r="32" spans="1:6" x14ac:dyDescent="0.35">
      <c r="A32" s="7">
        <f>'Test Data'!A9</f>
        <v>23</v>
      </c>
      <c r="B32" s="7">
        <f t="shared" si="4"/>
        <v>529</v>
      </c>
      <c r="C32" s="7">
        <f>'Test Data'!B9</f>
        <v>70.78</v>
      </c>
      <c r="D32" s="7">
        <f t="shared" si="5"/>
        <v>71.445199420086695</v>
      </c>
      <c r="E32" s="7">
        <f t="shared" si="6"/>
        <v>-0.66519942008669375</v>
      </c>
      <c r="F32" s="7">
        <f t="shared" si="7"/>
        <v>0.66519942008669375</v>
      </c>
    </row>
    <row r="34" spans="1:6" x14ac:dyDescent="0.35">
      <c r="A34" s="9" t="s">
        <v>19</v>
      </c>
    </row>
    <row r="35" spans="1:6" x14ac:dyDescent="0.35">
      <c r="A35" s="5" t="s">
        <v>2</v>
      </c>
      <c r="B35" s="5" t="s">
        <v>14</v>
      </c>
      <c r="C35" s="5" t="s">
        <v>3</v>
      </c>
      <c r="D35" s="5" t="s">
        <v>15</v>
      </c>
      <c r="E35" s="5" t="s">
        <v>16</v>
      </c>
      <c r="F35" s="5" t="s">
        <v>17</v>
      </c>
    </row>
    <row r="36" spans="1:6" x14ac:dyDescent="0.35">
      <c r="A36" s="8">
        <f>'Extension Data'!A4</f>
        <v>25</v>
      </c>
      <c r="B36" s="8">
        <f t="shared" ref="B36:B71" si="8">A36^2</f>
        <v>625</v>
      </c>
      <c r="C36" s="8">
        <f>'Extension Data'!B4</f>
        <v>75.959999999999994</v>
      </c>
      <c r="D36" s="8">
        <f t="shared" ref="D36:D71" si="9">$J$3+$I$3*A36+$H$3*A36^2</f>
        <v>80.432286773520786</v>
      </c>
      <c r="E36" s="8">
        <f t="shared" ref="E36:E71" si="10">C36-D36</f>
        <v>-4.4722867735207927</v>
      </c>
      <c r="F36" s="8">
        <f t="shared" ref="F36:F71" si="11">ABS(E36)</f>
        <v>4.4722867735207927</v>
      </c>
    </row>
    <row r="37" spans="1:6" x14ac:dyDescent="0.35">
      <c r="A37" s="8">
        <f>'Extension Data'!A5</f>
        <v>26</v>
      </c>
      <c r="B37" s="8">
        <f t="shared" si="8"/>
        <v>676</v>
      </c>
      <c r="C37" s="8">
        <f>'Extension Data'!B5</f>
        <v>80.569999999999993</v>
      </c>
      <c r="D37" s="8">
        <f t="shared" si="9"/>
        <v>85.192426732687608</v>
      </c>
      <c r="E37" s="8">
        <f t="shared" si="10"/>
        <v>-4.6224267326876145</v>
      </c>
      <c r="F37" s="8">
        <f t="shared" si="11"/>
        <v>4.6224267326876145</v>
      </c>
    </row>
    <row r="38" spans="1:6" x14ac:dyDescent="0.35">
      <c r="A38" s="8">
        <f>'Extension Data'!A6</f>
        <v>27</v>
      </c>
      <c r="B38" s="8">
        <f t="shared" si="8"/>
        <v>729</v>
      </c>
      <c r="C38" s="8">
        <f>'Extension Data'!B6</f>
        <v>86.49</v>
      </c>
      <c r="D38" s="8">
        <f t="shared" si="9"/>
        <v>90.130297546820984</v>
      </c>
      <c r="E38" s="8">
        <f t="shared" si="10"/>
        <v>-3.6402975468209888</v>
      </c>
      <c r="F38" s="8">
        <f t="shared" si="11"/>
        <v>3.6402975468209888</v>
      </c>
    </row>
    <row r="39" spans="1:6" x14ac:dyDescent="0.35">
      <c r="A39" s="8">
        <f>'Extension Data'!A7</f>
        <v>28</v>
      </c>
      <c r="B39" s="8">
        <f t="shared" si="8"/>
        <v>784</v>
      </c>
      <c r="C39" s="8">
        <f>'Extension Data'!B7</f>
        <v>85.03</v>
      </c>
      <c r="D39" s="8">
        <f t="shared" si="9"/>
        <v>95.245899215920872</v>
      </c>
      <c r="E39" s="8">
        <f t="shared" si="10"/>
        <v>-10.215899215920871</v>
      </c>
      <c r="F39" s="8">
        <f t="shared" si="11"/>
        <v>10.215899215920871</v>
      </c>
    </row>
    <row r="40" spans="1:6" x14ac:dyDescent="0.35">
      <c r="A40" s="8">
        <f>'Extension Data'!A8</f>
        <v>29</v>
      </c>
      <c r="B40" s="8">
        <f t="shared" si="8"/>
        <v>841</v>
      </c>
      <c r="C40" s="8">
        <f>'Extension Data'!B8</f>
        <v>87.94</v>
      </c>
      <c r="D40" s="8">
        <f t="shared" si="9"/>
        <v>100.53923173998727</v>
      </c>
      <c r="E40" s="8">
        <f t="shared" si="10"/>
        <v>-12.599231739987275</v>
      </c>
      <c r="F40" s="8">
        <f t="shared" si="11"/>
        <v>12.599231739987275</v>
      </c>
    </row>
    <row r="41" spans="1:6" x14ac:dyDescent="0.35">
      <c r="A41" s="8">
        <f>'Extension Data'!A9</f>
        <v>30</v>
      </c>
      <c r="B41" s="8">
        <f t="shared" si="8"/>
        <v>900</v>
      </c>
      <c r="C41" s="8">
        <f>'Extension Data'!B9</f>
        <v>93.28</v>
      </c>
      <c r="D41" s="8">
        <f t="shared" si="9"/>
        <v>106.01029511902021</v>
      </c>
      <c r="E41" s="8">
        <f t="shared" si="10"/>
        <v>-12.730295119020212</v>
      </c>
      <c r="F41" s="8">
        <f t="shared" si="11"/>
        <v>12.730295119020212</v>
      </c>
    </row>
    <row r="42" spans="1:6" x14ac:dyDescent="0.35">
      <c r="A42" s="8">
        <f>'Extension Data'!A10</f>
        <v>31</v>
      </c>
      <c r="B42" s="8">
        <f t="shared" si="8"/>
        <v>961</v>
      </c>
      <c r="C42" s="8">
        <f>'Extension Data'!B10</f>
        <v>91.87</v>
      </c>
      <c r="D42" s="8">
        <f t="shared" si="9"/>
        <v>111.65908935301968</v>
      </c>
      <c r="E42" s="8">
        <f t="shared" si="10"/>
        <v>-19.789089353019676</v>
      </c>
      <c r="F42" s="8">
        <f t="shared" si="11"/>
        <v>19.789089353019676</v>
      </c>
    </row>
    <row r="43" spans="1:6" x14ac:dyDescent="0.35">
      <c r="A43" s="8">
        <f>'Extension Data'!A11</f>
        <v>32</v>
      </c>
      <c r="B43" s="8">
        <f t="shared" si="8"/>
        <v>1024</v>
      </c>
      <c r="C43" s="8">
        <f>'Extension Data'!B11</f>
        <v>95.55</v>
      </c>
      <c r="D43" s="8">
        <f t="shared" si="9"/>
        <v>117.48561444198567</v>
      </c>
      <c r="E43" s="8">
        <f t="shared" si="10"/>
        <v>-21.935614441985678</v>
      </c>
      <c r="F43" s="8">
        <f t="shared" si="11"/>
        <v>21.935614441985678</v>
      </c>
    </row>
    <row r="44" spans="1:6" x14ac:dyDescent="0.35">
      <c r="A44" s="8">
        <f>'Extension Data'!A12</f>
        <v>33</v>
      </c>
      <c r="B44" s="8">
        <f t="shared" si="8"/>
        <v>1089</v>
      </c>
      <c r="C44" s="8">
        <f>'Extension Data'!B12</f>
        <v>100.38</v>
      </c>
      <c r="D44" s="8">
        <f t="shared" si="9"/>
        <v>123.48987038591819</v>
      </c>
      <c r="E44" s="8">
        <f t="shared" si="10"/>
        <v>-23.1098703859182</v>
      </c>
      <c r="F44" s="8">
        <f t="shared" si="11"/>
        <v>23.1098703859182</v>
      </c>
    </row>
    <row r="45" spans="1:6" x14ac:dyDescent="0.35">
      <c r="A45" s="8">
        <f>'Extension Data'!A13</f>
        <v>34</v>
      </c>
      <c r="B45" s="8">
        <f t="shared" si="8"/>
        <v>1156</v>
      </c>
      <c r="C45" s="8">
        <f>'Extension Data'!B13</f>
        <v>101.82</v>
      </c>
      <c r="D45" s="8">
        <f t="shared" si="9"/>
        <v>129.67185718481724</v>
      </c>
      <c r="E45" s="8">
        <f t="shared" si="10"/>
        <v>-27.851857184817248</v>
      </c>
      <c r="F45" s="8">
        <f t="shared" si="11"/>
        <v>27.851857184817248</v>
      </c>
    </row>
    <row r="46" spans="1:6" x14ac:dyDescent="0.35">
      <c r="A46" s="8">
        <f>'Extension Data'!A14</f>
        <v>35</v>
      </c>
      <c r="B46" s="8">
        <f t="shared" si="8"/>
        <v>1225</v>
      </c>
      <c r="C46" s="8">
        <f>'Extension Data'!B14</f>
        <v>102.65</v>
      </c>
      <c r="D46" s="8">
        <f t="shared" si="9"/>
        <v>136.03157483868281</v>
      </c>
      <c r="E46" s="8">
        <f t="shared" si="10"/>
        <v>-33.381574838682809</v>
      </c>
      <c r="F46" s="8">
        <f t="shared" si="11"/>
        <v>33.381574838682809</v>
      </c>
    </row>
    <row r="47" spans="1:6" x14ac:dyDescent="0.35">
      <c r="A47" s="8">
        <f>'Extension Data'!A15</f>
        <v>36</v>
      </c>
      <c r="B47" s="8">
        <f t="shared" si="8"/>
        <v>1296</v>
      </c>
      <c r="C47" s="8">
        <f>'Extension Data'!B15</f>
        <v>105.71</v>
      </c>
      <c r="D47" s="8">
        <f t="shared" si="9"/>
        <v>142.5690233475149</v>
      </c>
      <c r="E47" s="8">
        <f t="shared" si="10"/>
        <v>-36.859023347514906</v>
      </c>
      <c r="F47" s="8">
        <f t="shared" si="11"/>
        <v>36.859023347514906</v>
      </c>
    </row>
    <row r="48" spans="1:6" x14ac:dyDescent="0.35">
      <c r="A48" s="8">
        <f>'Extension Data'!A16</f>
        <v>37</v>
      </c>
      <c r="B48" s="8">
        <f t="shared" si="8"/>
        <v>1369</v>
      </c>
      <c r="C48" s="8">
        <f>'Extension Data'!B16</f>
        <v>99.2</v>
      </c>
      <c r="D48" s="8">
        <f t="shared" si="9"/>
        <v>149.28420271131353</v>
      </c>
      <c r="E48" s="8">
        <f t="shared" si="10"/>
        <v>-50.084202711313523</v>
      </c>
      <c r="F48" s="8">
        <f t="shared" si="11"/>
        <v>50.084202711313523</v>
      </c>
    </row>
    <row r="49" spans="1:6" x14ac:dyDescent="0.35">
      <c r="A49" s="8">
        <f>'Extension Data'!A17</f>
        <v>38</v>
      </c>
      <c r="B49" s="8">
        <f t="shared" si="8"/>
        <v>1444</v>
      </c>
      <c r="C49" s="8">
        <f>'Extension Data'!B17</f>
        <v>109.5</v>
      </c>
      <c r="D49" s="8">
        <f t="shared" si="9"/>
        <v>156.17711293007866</v>
      </c>
      <c r="E49" s="8">
        <f t="shared" si="10"/>
        <v>-46.677112930078664</v>
      </c>
      <c r="F49" s="8">
        <f t="shared" si="11"/>
        <v>46.677112930078664</v>
      </c>
    </row>
    <row r="50" spans="1:6" x14ac:dyDescent="0.35">
      <c r="A50" s="8">
        <f>'Extension Data'!A18</f>
        <v>39</v>
      </c>
      <c r="B50" s="8">
        <f t="shared" si="8"/>
        <v>1521</v>
      </c>
      <c r="C50" s="8">
        <f>'Extension Data'!B18</f>
        <v>106.04</v>
      </c>
      <c r="D50" s="8">
        <f t="shared" si="9"/>
        <v>163.24775400381034</v>
      </c>
      <c r="E50" s="8">
        <f t="shared" si="10"/>
        <v>-57.207754003810336</v>
      </c>
      <c r="F50" s="8">
        <f t="shared" si="11"/>
        <v>57.207754003810336</v>
      </c>
    </row>
    <row r="51" spans="1:6" x14ac:dyDescent="0.35">
      <c r="A51" s="8">
        <f>'Extension Data'!A19</f>
        <v>40</v>
      </c>
      <c r="B51" s="8">
        <f t="shared" si="8"/>
        <v>1600</v>
      </c>
      <c r="C51" s="8">
        <f>'Extension Data'!B19</f>
        <v>105.34</v>
      </c>
      <c r="D51" s="8">
        <f t="shared" si="9"/>
        <v>170.49612593250853</v>
      </c>
      <c r="E51" s="8">
        <f t="shared" si="10"/>
        <v>-65.15612593250853</v>
      </c>
      <c r="F51" s="8">
        <f t="shared" si="11"/>
        <v>65.15612593250853</v>
      </c>
    </row>
    <row r="52" spans="1:6" x14ac:dyDescent="0.35">
      <c r="A52" s="8">
        <f>'Extension Data'!A20</f>
        <v>41</v>
      </c>
      <c r="B52" s="8">
        <f t="shared" si="8"/>
        <v>1681</v>
      </c>
      <c r="C52" s="8">
        <f>'Extension Data'!B20</f>
        <v>110.89</v>
      </c>
      <c r="D52" s="8">
        <f t="shared" si="9"/>
        <v>177.92222871617327</v>
      </c>
      <c r="E52" s="8">
        <f t="shared" si="10"/>
        <v>-67.032228716173265</v>
      </c>
      <c r="F52" s="8">
        <f t="shared" si="11"/>
        <v>67.032228716173265</v>
      </c>
    </row>
    <row r="53" spans="1:6" x14ac:dyDescent="0.35">
      <c r="A53" s="8">
        <f>'Extension Data'!A21</f>
        <v>42</v>
      </c>
      <c r="B53" s="8">
        <f t="shared" si="8"/>
        <v>1764</v>
      </c>
      <c r="C53" s="8">
        <f>'Extension Data'!B21</f>
        <v>112.67</v>
      </c>
      <c r="D53" s="8">
        <f t="shared" si="9"/>
        <v>185.52606235480451</v>
      </c>
      <c r="E53" s="8">
        <f t="shared" si="10"/>
        <v>-72.856062354804507</v>
      </c>
      <c r="F53" s="8">
        <f t="shared" si="11"/>
        <v>72.856062354804507</v>
      </c>
    </row>
    <row r="54" spans="1:6" x14ac:dyDescent="0.35">
      <c r="A54" s="8">
        <f>'Extension Data'!A22</f>
        <v>43</v>
      </c>
      <c r="B54" s="8">
        <f t="shared" si="8"/>
        <v>1849</v>
      </c>
      <c r="C54" s="8">
        <f>'Extension Data'!B22</f>
        <v>110.43</v>
      </c>
      <c r="D54" s="8">
        <f t="shared" si="9"/>
        <v>193.30762684840229</v>
      </c>
      <c r="E54" s="8">
        <f t="shared" si="10"/>
        <v>-82.877626848402286</v>
      </c>
      <c r="F54" s="8">
        <f t="shared" si="11"/>
        <v>82.877626848402286</v>
      </c>
    </row>
    <row r="55" spans="1:6" x14ac:dyDescent="0.35">
      <c r="A55" s="8">
        <f>'Extension Data'!A23</f>
        <v>44</v>
      </c>
      <c r="B55" s="8">
        <f t="shared" si="8"/>
        <v>1936</v>
      </c>
      <c r="C55" s="8">
        <f>'Extension Data'!B23</f>
        <v>109.28</v>
      </c>
      <c r="D55" s="8">
        <f t="shared" si="9"/>
        <v>201.26692219696662</v>
      </c>
      <c r="E55" s="8">
        <f t="shared" si="10"/>
        <v>-91.986922196966617</v>
      </c>
      <c r="F55" s="8">
        <f t="shared" si="11"/>
        <v>91.986922196966617</v>
      </c>
    </row>
    <row r="56" spans="1:6" x14ac:dyDescent="0.35">
      <c r="A56" s="8">
        <f>'Extension Data'!A24</f>
        <v>45</v>
      </c>
      <c r="B56" s="8">
        <f t="shared" si="8"/>
        <v>2025</v>
      </c>
      <c r="C56" s="8">
        <f>'Extension Data'!B24</f>
        <v>112.41</v>
      </c>
      <c r="D56" s="8">
        <f t="shared" si="9"/>
        <v>209.40394840049743</v>
      </c>
      <c r="E56" s="8">
        <f t="shared" si="10"/>
        <v>-96.99394840049743</v>
      </c>
      <c r="F56" s="8">
        <f t="shared" si="11"/>
        <v>96.99394840049743</v>
      </c>
    </row>
    <row r="57" spans="1:6" x14ac:dyDescent="0.35">
      <c r="A57" s="8">
        <f>'Extension Data'!A25</f>
        <v>46</v>
      </c>
      <c r="B57" s="8">
        <f t="shared" si="8"/>
        <v>2116</v>
      </c>
      <c r="C57" s="8">
        <f>'Extension Data'!B25</f>
        <v>112.46</v>
      </c>
      <c r="D57" s="8">
        <f t="shared" si="9"/>
        <v>217.7187054589948</v>
      </c>
      <c r="E57" s="8">
        <f t="shared" si="10"/>
        <v>-105.25870545899481</v>
      </c>
      <c r="F57" s="8">
        <f t="shared" si="11"/>
        <v>105.25870545899481</v>
      </c>
    </row>
    <row r="58" spans="1:6" x14ac:dyDescent="0.35">
      <c r="A58" s="8">
        <f>'Extension Data'!A26</f>
        <v>47</v>
      </c>
      <c r="B58" s="8">
        <f t="shared" si="8"/>
        <v>2209</v>
      </c>
      <c r="C58" s="8">
        <f>'Extension Data'!B26</f>
        <v>116.44</v>
      </c>
      <c r="D58" s="8">
        <f t="shared" si="9"/>
        <v>226.21119337245867</v>
      </c>
      <c r="E58" s="8">
        <f t="shared" si="10"/>
        <v>-109.77119337245867</v>
      </c>
      <c r="F58" s="8">
        <f t="shared" si="11"/>
        <v>109.77119337245867</v>
      </c>
    </row>
    <row r="59" spans="1:6" x14ac:dyDescent="0.35">
      <c r="A59" s="8">
        <f>'Extension Data'!A27</f>
        <v>48</v>
      </c>
      <c r="B59" s="8">
        <f t="shared" si="8"/>
        <v>2304</v>
      </c>
      <c r="C59" s="8">
        <f>'Extension Data'!B27</f>
        <v>114.86</v>
      </c>
      <c r="D59" s="8">
        <f t="shared" si="9"/>
        <v>234.88141214088907</v>
      </c>
      <c r="E59" s="8">
        <f t="shared" si="10"/>
        <v>-120.02141214088907</v>
      </c>
      <c r="F59" s="8">
        <f t="shared" si="11"/>
        <v>120.02141214088907</v>
      </c>
    </row>
    <row r="60" spans="1:6" x14ac:dyDescent="0.35">
      <c r="A60" s="8">
        <f>'Extension Data'!A28</f>
        <v>49</v>
      </c>
      <c r="B60" s="8">
        <f t="shared" si="8"/>
        <v>2401</v>
      </c>
      <c r="C60" s="8">
        <f>'Extension Data'!B28</f>
        <v>113.48</v>
      </c>
      <c r="D60" s="8">
        <f t="shared" si="9"/>
        <v>243.72936176428601</v>
      </c>
      <c r="E60" s="8">
        <f t="shared" si="10"/>
        <v>-130.24936176428599</v>
      </c>
      <c r="F60" s="8">
        <f t="shared" si="11"/>
        <v>130.24936176428599</v>
      </c>
    </row>
    <row r="61" spans="1:6" x14ac:dyDescent="0.35">
      <c r="A61" s="8">
        <f>'Extension Data'!A29</f>
        <v>50</v>
      </c>
      <c r="B61" s="8">
        <f t="shared" si="8"/>
        <v>2500</v>
      </c>
      <c r="C61" s="8">
        <f>'Extension Data'!B29</f>
        <v>116.02</v>
      </c>
      <c r="D61" s="8">
        <f t="shared" si="9"/>
        <v>252.75504224264947</v>
      </c>
      <c r="E61" s="8">
        <f t="shared" si="10"/>
        <v>-136.73504224264946</v>
      </c>
      <c r="F61" s="8">
        <f t="shared" si="11"/>
        <v>136.73504224264946</v>
      </c>
    </row>
    <row r="62" spans="1:6" x14ac:dyDescent="0.35">
      <c r="A62" s="8">
        <f>'Extension Data'!A30</f>
        <v>51</v>
      </c>
      <c r="B62" s="8">
        <f t="shared" si="8"/>
        <v>2601</v>
      </c>
      <c r="C62" s="8">
        <f>'Extension Data'!B30</f>
        <v>112.52</v>
      </c>
      <c r="D62" s="8">
        <f t="shared" si="9"/>
        <v>261.95845357597943</v>
      </c>
      <c r="E62" s="8">
        <f t="shared" si="10"/>
        <v>-149.43845357597945</v>
      </c>
      <c r="F62" s="8">
        <f t="shared" si="11"/>
        <v>149.43845357597945</v>
      </c>
    </row>
    <row r="63" spans="1:6" x14ac:dyDescent="0.35">
      <c r="A63" s="8">
        <f>'Extension Data'!A31</f>
        <v>52</v>
      </c>
      <c r="B63" s="8">
        <f t="shared" si="8"/>
        <v>2704</v>
      </c>
      <c r="C63" s="8">
        <f>'Extension Data'!B31</f>
        <v>110.61</v>
      </c>
      <c r="D63" s="8">
        <f t="shared" si="9"/>
        <v>271.33959576427594</v>
      </c>
      <c r="E63" s="8">
        <f t="shared" si="10"/>
        <v>-160.72959576427593</v>
      </c>
      <c r="F63" s="8">
        <f t="shared" si="11"/>
        <v>160.72959576427593</v>
      </c>
    </row>
    <row r="64" spans="1:6" x14ac:dyDescent="0.35">
      <c r="A64" s="8">
        <f>'Extension Data'!A32</f>
        <v>53</v>
      </c>
      <c r="B64" s="8">
        <f t="shared" si="8"/>
        <v>2809</v>
      </c>
      <c r="C64" s="8">
        <f>'Extension Data'!B32</f>
        <v>114.93</v>
      </c>
      <c r="D64" s="8">
        <f t="shared" si="9"/>
        <v>280.89846880753902</v>
      </c>
      <c r="E64" s="8">
        <f t="shared" si="10"/>
        <v>-165.96846880753901</v>
      </c>
      <c r="F64" s="8">
        <f t="shared" si="11"/>
        <v>165.96846880753901</v>
      </c>
    </row>
    <row r="65" spans="1:6" x14ac:dyDescent="0.35">
      <c r="A65" s="8">
        <f>'Extension Data'!A33</f>
        <v>54</v>
      </c>
      <c r="B65" s="8">
        <f t="shared" si="8"/>
        <v>2916</v>
      </c>
      <c r="C65" s="8">
        <f>'Extension Data'!B33</f>
        <v>115.14</v>
      </c>
      <c r="D65" s="8">
        <f t="shared" si="9"/>
        <v>290.63507270576855</v>
      </c>
      <c r="E65" s="8">
        <f t="shared" si="10"/>
        <v>-175.49507270576856</v>
      </c>
      <c r="F65" s="8">
        <f t="shared" si="11"/>
        <v>175.49507270576856</v>
      </c>
    </row>
    <row r="66" spans="1:6" x14ac:dyDescent="0.35">
      <c r="A66" s="8">
        <f>'Extension Data'!A34</f>
        <v>55</v>
      </c>
      <c r="B66" s="8">
        <f t="shared" si="8"/>
        <v>3025</v>
      </c>
      <c r="C66" s="8">
        <f>'Extension Data'!B34</f>
        <v>113.17</v>
      </c>
      <c r="D66" s="8">
        <f t="shared" si="9"/>
        <v>300.54940745896465</v>
      </c>
      <c r="E66" s="8">
        <f t="shared" si="10"/>
        <v>-187.37940745896464</v>
      </c>
      <c r="F66" s="8">
        <f t="shared" si="11"/>
        <v>187.37940745896464</v>
      </c>
    </row>
    <row r="67" spans="1:6" x14ac:dyDescent="0.35">
      <c r="A67" s="8">
        <f>'Extension Data'!A35</f>
        <v>56</v>
      </c>
      <c r="B67" s="8">
        <f t="shared" si="8"/>
        <v>3136</v>
      </c>
      <c r="C67" s="8">
        <f>'Extension Data'!B35</f>
        <v>111.92</v>
      </c>
      <c r="D67" s="8">
        <f t="shared" si="9"/>
        <v>310.64147306712732</v>
      </c>
      <c r="E67" s="8">
        <f t="shared" si="10"/>
        <v>-198.72147306712731</v>
      </c>
      <c r="F67" s="8">
        <f t="shared" si="11"/>
        <v>198.72147306712731</v>
      </c>
    </row>
    <row r="68" spans="1:6" x14ac:dyDescent="0.35">
      <c r="A68" s="8">
        <f>'Extension Data'!A36</f>
        <v>57</v>
      </c>
      <c r="B68" s="8">
        <f t="shared" si="8"/>
        <v>3249</v>
      </c>
      <c r="C68" s="8">
        <f>'Extension Data'!B36</f>
        <v>115.37</v>
      </c>
      <c r="D68" s="8">
        <f t="shared" si="9"/>
        <v>320.91126953025639</v>
      </c>
      <c r="E68" s="8">
        <f t="shared" si="10"/>
        <v>-205.54126953025639</v>
      </c>
      <c r="F68" s="8">
        <f t="shared" si="11"/>
        <v>205.54126953025639</v>
      </c>
    </row>
    <row r="69" spans="1:6" x14ac:dyDescent="0.35">
      <c r="A69" s="8">
        <f>'Extension Data'!A37</f>
        <v>58</v>
      </c>
      <c r="B69" s="8">
        <f t="shared" si="8"/>
        <v>3364</v>
      </c>
      <c r="C69" s="8">
        <f>'Extension Data'!B37</f>
        <v>108.04</v>
      </c>
      <c r="D69" s="8">
        <f t="shared" si="9"/>
        <v>331.35879684835209</v>
      </c>
      <c r="E69" s="8">
        <f t="shared" si="10"/>
        <v>-223.31879684835206</v>
      </c>
      <c r="F69" s="8">
        <f t="shared" si="11"/>
        <v>223.31879684835206</v>
      </c>
    </row>
    <row r="70" spans="1:6" x14ac:dyDescent="0.35">
      <c r="A70" s="8">
        <f>'Extension Data'!A38</f>
        <v>59</v>
      </c>
      <c r="B70" s="8">
        <f t="shared" si="8"/>
        <v>3481</v>
      </c>
      <c r="C70" s="8">
        <f>'Extension Data'!B38</f>
        <v>118.27</v>
      </c>
      <c r="D70" s="8">
        <f t="shared" si="9"/>
        <v>341.98405502141424</v>
      </c>
      <c r="E70" s="8">
        <f t="shared" si="10"/>
        <v>-223.71405502141425</v>
      </c>
      <c r="F70" s="8">
        <f t="shared" si="11"/>
        <v>223.71405502141425</v>
      </c>
    </row>
    <row r="71" spans="1:6" x14ac:dyDescent="0.35">
      <c r="A71" s="8">
        <f>'Extension Data'!A39</f>
        <v>60</v>
      </c>
      <c r="B71" s="8">
        <f t="shared" si="8"/>
        <v>3600</v>
      </c>
      <c r="C71" s="8">
        <f>'Extension Data'!B39</f>
        <v>118.72</v>
      </c>
      <c r="D71" s="8">
        <f t="shared" si="9"/>
        <v>352.78704404944301</v>
      </c>
      <c r="E71" s="8">
        <f t="shared" si="10"/>
        <v>-234.06704404944301</v>
      </c>
      <c r="F71" s="8">
        <f t="shared" si="11"/>
        <v>234.06704404944301</v>
      </c>
    </row>
    <row r="73" spans="1:6" x14ac:dyDescent="0.35">
      <c r="A73" s="9" t="s">
        <v>20</v>
      </c>
      <c r="B73" s="11">
        <f>AVERAGE(F6:F23)</f>
        <v>1.2287839233272733</v>
      </c>
    </row>
    <row r="74" spans="1:6" x14ac:dyDescent="0.35">
      <c r="A74" s="9" t="s">
        <v>21</v>
      </c>
      <c r="B74" s="11">
        <f>AVERAGE(F27:F32)</f>
        <v>1.7119659610969269</v>
      </c>
    </row>
    <row r="75" spans="1:6" x14ac:dyDescent="0.35">
      <c r="A75" s="9" t="s">
        <v>22</v>
      </c>
      <c r="B75" s="11">
        <f>AVERAGE(F36:F71)</f>
        <v>93.569133405079171</v>
      </c>
    </row>
    <row r="76" spans="1:6" x14ac:dyDescent="0.35">
      <c r="A76" s="9" t="s">
        <v>23</v>
      </c>
      <c r="B76" s="11">
        <f>CORREL(E6:E22,E7:E23)</f>
        <v>7.1073593042209032E-2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6"/>
  <sheetViews>
    <sheetView tabSelected="1" topLeftCell="A18" zoomScaleNormal="100" workbookViewId="0">
      <selection activeCell="L21" sqref="L21"/>
    </sheetView>
  </sheetViews>
  <sheetFormatPr defaultColWidth="8.6328125" defaultRowHeight="14.5" x14ac:dyDescent="0.35"/>
  <cols>
    <col min="1" max="1" width="12" customWidth="1"/>
    <col min="2" max="8" width="9" customWidth="1"/>
    <col min="9" max="9" width="10" customWidth="1"/>
    <col min="10" max="10" width="11" customWidth="1"/>
    <col min="11" max="11" width="10" customWidth="1"/>
    <col min="12" max="12" width="11" customWidth="1"/>
  </cols>
  <sheetData>
    <row r="1" spans="1:22" ht="18" x14ac:dyDescent="0.4">
      <c r="A1" s="3" t="s">
        <v>24</v>
      </c>
      <c r="N1" s="9" t="s">
        <v>9</v>
      </c>
    </row>
    <row r="2" spans="1:22" x14ac:dyDescent="0.35">
      <c r="N2" s="10" t="s">
        <v>25</v>
      </c>
      <c r="O2" s="10" t="s">
        <v>26</v>
      </c>
      <c r="P2" s="10" t="s">
        <v>27</v>
      </c>
      <c r="Q2" s="10" t="s">
        <v>28</v>
      </c>
      <c r="R2" s="10" t="s">
        <v>29</v>
      </c>
      <c r="S2" s="10" t="s">
        <v>30</v>
      </c>
      <c r="T2" s="10" t="s">
        <v>10</v>
      </c>
      <c r="U2" s="10" t="s">
        <v>11</v>
      </c>
      <c r="V2" s="10" t="s">
        <v>12</v>
      </c>
    </row>
    <row r="3" spans="1:22" x14ac:dyDescent="0.35">
      <c r="N3" s="11">
        <f t="array" ref="N3:V3">LINEST(I6:I23,A6:H23,TRUE(),FALSE())</f>
        <v>-1.8053695211349342E-7</v>
      </c>
      <c r="O3" s="11">
        <v>1.8459202194588418E-5</v>
      </c>
      <c r="P3" s="11">
        <v>-7.8640030045572815E-4</v>
      </c>
      <c r="Q3" s="11">
        <v>1.8026336926859825E-2</v>
      </c>
      <c r="R3" s="11">
        <v>-0.23905542011250402</v>
      </c>
      <c r="S3" s="11">
        <v>1.8245166252391054</v>
      </c>
      <c r="T3" s="11">
        <v>-7.2952207379987399</v>
      </c>
      <c r="U3" s="11">
        <v>12.766351745150393</v>
      </c>
      <c r="V3" s="11">
        <v>15.135824154815964</v>
      </c>
    </row>
    <row r="4" spans="1:22" x14ac:dyDescent="0.35">
      <c r="A4" s="9" t="s">
        <v>13</v>
      </c>
    </row>
    <row r="5" spans="1:22" x14ac:dyDescent="0.35">
      <c r="A5" s="5" t="s">
        <v>2</v>
      </c>
      <c r="B5" s="5" t="s">
        <v>14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</v>
      </c>
      <c r="J5" s="5" t="s">
        <v>15</v>
      </c>
      <c r="K5" s="5" t="s">
        <v>16</v>
      </c>
      <c r="L5" s="5" t="s">
        <v>17</v>
      </c>
    </row>
    <row r="6" spans="1:22" x14ac:dyDescent="0.35">
      <c r="A6" s="6">
        <f>'Training Data'!A4</f>
        <v>1</v>
      </c>
      <c r="B6" s="6">
        <f t="shared" ref="B6:B23" si="0">A6^2</f>
        <v>1</v>
      </c>
      <c r="C6" s="6">
        <f t="shared" ref="C6:C23" si="1">A6^3</f>
        <v>1</v>
      </c>
      <c r="D6" s="6">
        <f t="shared" ref="D6:D23" si="2">A6^4</f>
        <v>1</v>
      </c>
      <c r="E6" s="6">
        <f t="shared" ref="E6:E23" si="3">A6^5</f>
        <v>1</v>
      </c>
      <c r="F6" s="6">
        <f t="shared" ref="F6:F23" si="4">A6^6</f>
        <v>1</v>
      </c>
      <c r="G6" s="6">
        <f t="shared" ref="G6:G23" si="5">A6^7</f>
        <v>1</v>
      </c>
      <c r="H6" s="6">
        <f t="shared" ref="H6:H23" si="6">A6^8</f>
        <v>1</v>
      </c>
      <c r="I6" s="6">
        <f>'Training Data'!B4</f>
        <v>22.27</v>
      </c>
      <c r="J6" s="6">
        <f t="shared" ref="J6:J23" si="7">$V$3+$U$3*A6+$T$3*A6^2+$S$3*A6^3+$R$3*A6^4+$Q$3*A6^5+$P$3*A6^6+$O$3*A6^7+$N$3*A6^8</f>
        <v>22.209674582385869</v>
      </c>
      <c r="K6" s="6">
        <f t="shared" ref="K6:K23" si="8">I6-J6</f>
        <v>6.0325417614130572E-2</v>
      </c>
      <c r="L6" s="6">
        <f t="shared" ref="L6:L23" si="9">ABS(K6)</f>
        <v>6.0325417614130572E-2</v>
      </c>
    </row>
    <row r="7" spans="1:22" x14ac:dyDescent="0.35">
      <c r="A7" s="6">
        <f>'Training Data'!A5</f>
        <v>3</v>
      </c>
      <c r="B7" s="6">
        <f t="shared" si="0"/>
        <v>9</v>
      </c>
      <c r="C7" s="6">
        <f t="shared" si="1"/>
        <v>27</v>
      </c>
      <c r="D7" s="6">
        <f t="shared" si="2"/>
        <v>81</v>
      </c>
      <c r="E7" s="6">
        <f t="shared" si="3"/>
        <v>243</v>
      </c>
      <c r="F7" s="6">
        <f t="shared" si="4"/>
        <v>729</v>
      </c>
      <c r="G7" s="6">
        <f t="shared" si="5"/>
        <v>2187</v>
      </c>
      <c r="H7" s="6">
        <f t="shared" si="6"/>
        <v>6561</v>
      </c>
      <c r="I7" s="6">
        <f>'Training Data'!B5</f>
        <v>21.12</v>
      </c>
      <c r="J7" s="6">
        <f t="shared" si="7"/>
        <v>21.522652427072966</v>
      </c>
      <c r="K7" s="6">
        <f t="shared" si="8"/>
        <v>-0.40265242707296522</v>
      </c>
      <c r="L7" s="6">
        <f t="shared" si="9"/>
        <v>0.40265242707296522</v>
      </c>
    </row>
    <row r="8" spans="1:22" x14ac:dyDescent="0.35">
      <c r="A8" s="6">
        <f>'Training Data'!A6</f>
        <v>4</v>
      </c>
      <c r="B8" s="6">
        <f t="shared" si="0"/>
        <v>16</v>
      </c>
      <c r="C8" s="6">
        <f t="shared" si="1"/>
        <v>64</v>
      </c>
      <c r="D8" s="6">
        <f t="shared" si="2"/>
        <v>256</v>
      </c>
      <c r="E8" s="6">
        <f t="shared" si="3"/>
        <v>1024</v>
      </c>
      <c r="F8" s="6">
        <f t="shared" si="4"/>
        <v>4096</v>
      </c>
      <c r="G8" s="6">
        <f t="shared" si="5"/>
        <v>16384</v>
      </c>
      <c r="H8" s="6">
        <f t="shared" si="6"/>
        <v>65536</v>
      </c>
      <c r="I8" s="6">
        <f>'Training Data'!B6</f>
        <v>20.58</v>
      </c>
      <c r="J8" s="6">
        <f t="shared" si="7"/>
        <v>20.577053075439647</v>
      </c>
      <c r="K8" s="6">
        <f t="shared" si="8"/>
        <v>2.9469245603515049E-3</v>
      </c>
      <c r="L8" s="6">
        <f t="shared" si="9"/>
        <v>2.9469245603515049E-3</v>
      </c>
    </row>
    <row r="9" spans="1:22" x14ac:dyDescent="0.35">
      <c r="A9" s="6">
        <f>'Training Data'!A7</f>
        <v>5</v>
      </c>
      <c r="B9" s="6">
        <f t="shared" si="0"/>
        <v>25</v>
      </c>
      <c r="C9" s="6">
        <f t="shared" si="1"/>
        <v>125</v>
      </c>
      <c r="D9" s="6">
        <f t="shared" si="2"/>
        <v>625</v>
      </c>
      <c r="E9" s="6">
        <f t="shared" si="3"/>
        <v>3125</v>
      </c>
      <c r="F9" s="6">
        <f t="shared" si="4"/>
        <v>15625</v>
      </c>
      <c r="G9" s="6">
        <f t="shared" si="5"/>
        <v>78125</v>
      </c>
      <c r="H9" s="6">
        <f t="shared" si="6"/>
        <v>390625</v>
      </c>
      <c r="I9" s="6">
        <f>'Training Data'!B7</f>
        <v>21.7</v>
      </c>
      <c r="J9" s="6">
        <f t="shared" si="7"/>
        <v>20.658406141521688</v>
      </c>
      <c r="K9" s="6">
        <f t="shared" si="8"/>
        <v>1.0415938584783113</v>
      </c>
      <c r="L9" s="6">
        <f t="shared" si="9"/>
        <v>1.0415938584783113</v>
      </c>
    </row>
    <row r="10" spans="1:22" x14ac:dyDescent="0.35">
      <c r="A10" s="6">
        <f>'Training Data'!A8</f>
        <v>7</v>
      </c>
      <c r="B10" s="6">
        <f t="shared" si="0"/>
        <v>49</v>
      </c>
      <c r="C10" s="6">
        <f t="shared" si="1"/>
        <v>343</v>
      </c>
      <c r="D10" s="6">
        <f t="shared" si="2"/>
        <v>2401</v>
      </c>
      <c r="E10" s="6">
        <f t="shared" si="3"/>
        <v>16807</v>
      </c>
      <c r="F10" s="6">
        <f t="shared" si="4"/>
        <v>117649</v>
      </c>
      <c r="G10" s="6">
        <f t="shared" si="5"/>
        <v>823543</v>
      </c>
      <c r="H10" s="6">
        <f t="shared" si="6"/>
        <v>5764801</v>
      </c>
      <c r="I10" s="6">
        <f>'Training Data'!B8</f>
        <v>22.11</v>
      </c>
      <c r="J10" s="6">
        <f t="shared" si="7"/>
        <v>23.48223190809572</v>
      </c>
      <c r="K10" s="6">
        <f t="shared" si="8"/>
        <v>-1.3722319080957206</v>
      </c>
      <c r="L10" s="6">
        <f t="shared" si="9"/>
        <v>1.3722319080957206</v>
      </c>
    </row>
    <row r="11" spans="1:22" x14ac:dyDescent="0.35">
      <c r="A11" s="6">
        <f>'Training Data'!A9</f>
        <v>8</v>
      </c>
      <c r="B11" s="6">
        <f t="shared" si="0"/>
        <v>64</v>
      </c>
      <c r="C11" s="6">
        <f t="shared" si="1"/>
        <v>512</v>
      </c>
      <c r="D11" s="6">
        <f t="shared" si="2"/>
        <v>4096</v>
      </c>
      <c r="E11" s="6">
        <f t="shared" si="3"/>
        <v>32768</v>
      </c>
      <c r="F11" s="6">
        <f t="shared" si="4"/>
        <v>262144</v>
      </c>
      <c r="G11" s="6">
        <f t="shared" si="5"/>
        <v>2097152</v>
      </c>
      <c r="H11" s="6">
        <f t="shared" si="6"/>
        <v>16777216</v>
      </c>
      <c r="I11" s="6">
        <f>'Training Data'!B9</f>
        <v>26.28</v>
      </c>
      <c r="J11" s="6">
        <f t="shared" si="7"/>
        <v>25.573755641577307</v>
      </c>
      <c r="K11" s="6">
        <f t="shared" si="8"/>
        <v>0.70624435842269406</v>
      </c>
      <c r="L11" s="6">
        <f t="shared" si="9"/>
        <v>0.70624435842269406</v>
      </c>
    </row>
    <row r="12" spans="1:22" x14ac:dyDescent="0.35">
      <c r="A12" s="6">
        <f>'Training Data'!A10</f>
        <v>9</v>
      </c>
      <c r="B12" s="6">
        <f t="shared" si="0"/>
        <v>81</v>
      </c>
      <c r="C12" s="6">
        <f t="shared" si="1"/>
        <v>729</v>
      </c>
      <c r="D12" s="6">
        <f t="shared" si="2"/>
        <v>6561</v>
      </c>
      <c r="E12" s="6">
        <f t="shared" si="3"/>
        <v>59049</v>
      </c>
      <c r="F12" s="6">
        <f t="shared" si="4"/>
        <v>531441</v>
      </c>
      <c r="G12" s="6">
        <f t="shared" si="5"/>
        <v>4782969</v>
      </c>
      <c r="H12" s="6">
        <f t="shared" si="6"/>
        <v>43046721</v>
      </c>
      <c r="I12" s="6">
        <f>'Training Data'!B10</f>
        <v>27.21</v>
      </c>
      <c r="J12" s="6">
        <f t="shared" si="7"/>
        <v>27.780193697722105</v>
      </c>
      <c r="K12" s="6">
        <f t="shared" si="8"/>
        <v>-0.57019369772210382</v>
      </c>
      <c r="L12" s="6">
        <f t="shared" si="9"/>
        <v>0.57019369772210382</v>
      </c>
    </row>
    <row r="13" spans="1:22" x14ac:dyDescent="0.35">
      <c r="A13" s="6">
        <f>'Training Data'!A11</f>
        <v>11</v>
      </c>
      <c r="B13" s="6">
        <f t="shared" si="0"/>
        <v>121</v>
      </c>
      <c r="C13" s="6">
        <f t="shared" si="1"/>
        <v>1331</v>
      </c>
      <c r="D13" s="6">
        <f t="shared" si="2"/>
        <v>14641</v>
      </c>
      <c r="E13" s="6">
        <f t="shared" si="3"/>
        <v>161051</v>
      </c>
      <c r="F13" s="6">
        <f t="shared" si="4"/>
        <v>1771561</v>
      </c>
      <c r="G13" s="6">
        <f t="shared" si="5"/>
        <v>19487171</v>
      </c>
      <c r="H13" s="6">
        <f t="shared" si="6"/>
        <v>214358881</v>
      </c>
      <c r="I13" s="6">
        <f>'Training Data'!B11</f>
        <v>33.18</v>
      </c>
      <c r="J13" s="6">
        <f t="shared" si="7"/>
        <v>32.286622767073162</v>
      </c>
      <c r="K13" s="6">
        <f t="shared" si="8"/>
        <v>0.89337723292683791</v>
      </c>
      <c r="L13" s="6">
        <f t="shared" si="9"/>
        <v>0.89337723292683791</v>
      </c>
    </row>
    <row r="14" spans="1:22" x14ac:dyDescent="0.35">
      <c r="A14" s="6">
        <f>'Training Data'!A12</f>
        <v>12</v>
      </c>
      <c r="B14" s="6">
        <f t="shared" si="0"/>
        <v>144</v>
      </c>
      <c r="C14" s="6">
        <f t="shared" si="1"/>
        <v>1728</v>
      </c>
      <c r="D14" s="6">
        <f t="shared" si="2"/>
        <v>20736</v>
      </c>
      <c r="E14" s="6">
        <f t="shared" si="3"/>
        <v>248832</v>
      </c>
      <c r="F14" s="6">
        <f t="shared" si="4"/>
        <v>2985984</v>
      </c>
      <c r="G14" s="6">
        <f t="shared" si="5"/>
        <v>35831808</v>
      </c>
      <c r="H14" s="6">
        <f t="shared" si="6"/>
        <v>429981696</v>
      </c>
      <c r="I14" s="6">
        <f>'Training Data'!B12</f>
        <v>34.74</v>
      </c>
      <c r="J14" s="6">
        <f t="shared" si="7"/>
        <v>34.681555222719595</v>
      </c>
      <c r="K14" s="6">
        <f t="shared" si="8"/>
        <v>5.8444777280406868E-2</v>
      </c>
      <c r="L14" s="6">
        <f t="shared" si="9"/>
        <v>5.8444777280406868E-2</v>
      </c>
    </row>
    <row r="15" spans="1:22" x14ac:dyDescent="0.35">
      <c r="A15" s="6">
        <f>'Training Data'!A13</f>
        <v>13</v>
      </c>
      <c r="B15" s="6">
        <f t="shared" si="0"/>
        <v>169</v>
      </c>
      <c r="C15" s="6">
        <f t="shared" si="1"/>
        <v>2197</v>
      </c>
      <c r="D15" s="6">
        <f t="shared" si="2"/>
        <v>28561</v>
      </c>
      <c r="E15" s="6">
        <f t="shared" si="3"/>
        <v>371293</v>
      </c>
      <c r="F15" s="6">
        <f t="shared" si="4"/>
        <v>4826809</v>
      </c>
      <c r="G15" s="6">
        <f t="shared" si="5"/>
        <v>62748517</v>
      </c>
      <c r="H15" s="6">
        <f t="shared" si="6"/>
        <v>815730721</v>
      </c>
      <c r="I15" s="6">
        <f>'Training Data'!B13</f>
        <v>37.47</v>
      </c>
      <c r="J15" s="6">
        <f t="shared" si="7"/>
        <v>37.273957278109549</v>
      </c>
      <c r="K15" s="6">
        <f t="shared" si="8"/>
        <v>0.19604272189044991</v>
      </c>
      <c r="L15" s="6">
        <f t="shared" si="9"/>
        <v>0.19604272189044991</v>
      </c>
    </row>
    <row r="16" spans="1:22" x14ac:dyDescent="0.35">
      <c r="A16" s="6">
        <f>'Training Data'!A14</f>
        <v>15</v>
      </c>
      <c r="B16" s="6">
        <f t="shared" si="0"/>
        <v>225</v>
      </c>
      <c r="C16" s="6">
        <f t="shared" si="1"/>
        <v>3375</v>
      </c>
      <c r="D16" s="6">
        <f t="shared" si="2"/>
        <v>50625</v>
      </c>
      <c r="E16" s="6">
        <f t="shared" si="3"/>
        <v>759375</v>
      </c>
      <c r="F16" s="6">
        <f t="shared" si="4"/>
        <v>11390625</v>
      </c>
      <c r="G16" s="6">
        <f t="shared" si="5"/>
        <v>170859375</v>
      </c>
      <c r="H16" s="6">
        <f t="shared" si="6"/>
        <v>2562890625</v>
      </c>
      <c r="I16" s="6">
        <f>'Training Data'!B14</f>
        <v>41.88</v>
      </c>
      <c r="J16" s="6">
        <f t="shared" si="7"/>
        <v>43.159370652729592</v>
      </c>
      <c r="K16" s="6">
        <f t="shared" si="8"/>
        <v>-1.2793706527295896</v>
      </c>
      <c r="L16" s="6">
        <f t="shared" si="9"/>
        <v>1.2793706527295896</v>
      </c>
    </row>
    <row r="17" spans="1:12" x14ac:dyDescent="0.35">
      <c r="A17" s="6">
        <f>'Training Data'!A15</f>
        <v>16</v>
      </c>
      <c r="B17" s="6">
        <f t="shared" si="0"/>
        <v>256</v>
      </c>
      <c r="C17" s="6">
        <f t="shared" si="1"/>
        <v>4096</v>
      </c>
      <c r="D17" s="6">
        <f t="shared" si="2"/>
        <v>65536</v>
      </c>
      <c r="E17" s="6">
        <f t="shared" si="3"/>
        <v>1048576</v>
      </c>
      <c r="F17" s="6">
        <f t="shared" si="4"/>
        <v>16777216</v>
      </c>
      <c r="G17" s="6">
        <f t="shared" si="5"/>
        <v>268435456</v>
      </c>
      <c r="H17" s="6">
        <f t="shared" si="6"/>
        <v>4294967296</v>
      </c>
      <c r="I17" s="6">
        <f>'Training Data'!B15</f>
        <v>46.01</v>
      </c>
      <c r="J17" s="6">
        <f t="shared" si="7"/>
        <v>46.385647297746345</v>
      </c>
      <c r="K17" s="6">
        <f t="shared" si="8"/>
        <v>-0.37564729774634742</v>
      </c>
      <c r="L17" s="6">
        <f t="shared" si="9"/>
        <v>0.37564729774634742</v>
      </c>
    </row>
    <row r="18" spans="1:12" x14ac:dyDescent="0.35">
      <c r="A18" s="6">
        <f>'Training Data'!A16</f>
        <v>17</v>
      </c>
      <c r="B18" s="6">
        <f t="shared" si="0"/>
        <v>289</v>
      </c>
      <c r="C18" s="6">
        <f t="shared" si="1"/>
        <v>4913</v>
      </c>
      <c r="D18" s="6">
        <f t="shared" si="2"/>
        <v>83521</v>
      </c>
      <c r="E18" s="6">
        <f t="shared" si="3"/>
        <v>1419857</v>
      </c>
      <c r="F18" s="6">
        <f t="shared" si="4"/>
        <v>24137569</v>
      </c>
      <c r="G18" s="6">
        <f t="shared" si="5"/>
        <v>410338673</v>
      </c>
      <c r="H18" s="6">
        <f t="shared" si="6"/>
        <v>6975757441</v>
      </c>
      <c r="I18" s="6">
        <f>'Training Data'!B16</f>
        <v>50.64</v>
      </c>
      <c r="J18" s="6">
        <f t="shared" si="7"/>
        <v>49.719149298490947</v>
      </c>
      <c r="K18" s="6">
        <f t="shared" si="8"/>
        <v>0.92085070150905324</v>
      </c>
      <c r="L18" s="6">
        <f t="shared" si="9"/>
        <v>0.92085070150905324</v>
      </c>
    </row>
    <row r="19" spans="1:12" x14ac:dyDescent="0.35">
      <c r="A19" s="6">
        <f>'Training Data'!A17</f>
        <v>19</v>
      </c>
      <c r="B19" s="6">
        <f t="shared" si="0"/>
        <v>361</v>
      </c>
      <c r="C19" s="6">
        <f t="shared" si="1"/>
        <v>6859</v>
      </c>
      <c r="D19" s="6">
        <f t="shared" si="2"/>
        <v>130321</v>
      </c>
      <c r="E19" s="6">
        <f t="shared" si="3"/>
        <v>2476099</v>
      </c>
      <c r="F19" s="6">
        <f t="shared" si="4"/>
        <v>47045881</v>
      </c>
      <c r="G19" s="6">
        <f t="shared" si="5"/>
        <v>893871739</v>
      </c>
      <c r="H19" s="6">
        <f t="shared" si="6"/>
        <v>16983563041</v>
      </c>
      <c r="I19" s="6">
        <f>'Training Data'!B17</f>
        <v>58.03</v>
      </c>
      <c r="J19" s="6">
        <f t="shared" si="7"/>
        <v>56.638292364624704</v>
      </c>
      <c r="K19" s="6">
        <f t="shared" si="8"/>
        <v>1.3917076353752975</v>
      </c>
      <c r="L19" s="6">
        <f t="shared" si="9"/>
        <v>1.3917076353752975</v>
      </c>
    </row>
    <row r="20" spans="1:12" x14ac:dyDescent="0.35">
      <c r="A20" s="6">
        <f>'Training Data'!A18</f>
        <v>20</v>
      </c>
      <c r="B20" s="6">
        <f t="shared" si="0"/>
        <v>400</v>
      </c>
      <c r="C20" s="6">
        <f t="shared" si="1"/>
        <v>8000</v>
      </c>
      <c r="D20" s="6">
        <f t="shared" si="2"/>
        <v>160000</v>
      </c>
      <c r="E20" s="6">
        <f t="shared" si="3"/>
        <v>3200000</v>
      </c>
      <c r="F20" s="6">
        <f t="shared" si="4"/>
        <v>64000000</v>
      </c>
      <c r="G20" s="6">
        <f t="shared" si="5"/>
        <v>1280000000</v>
      </c>
      <c r="H20" s="6">
        <f t="shared" si="6"/>
        <v>25600000000</v>
      </c>
      <c r="I20" s="6">
        <f>'Training Data'!B18</f>
        <v>59.31</v>
      </c>
      <c r="J20" s="6">
        <f t="shared" si="7"/>
        <v>60.332119523109213</v>
      </c>
      <c r="K20" s="6">
        <f t="shared" si="8"/>
        <v>-1.0221195231092111</v>
      </c>
      <c r="L20" s="6">
        <f t="shared" si="9"/>
        <v>1.0221195231092111</v>
      </c>
    </row>
    <row r="21" spans="1:12" x14ac:dyDescent="0.35">
      <c r="A21" s="6">
        <f>'Training Data'!A19</f>
        <v>21</v>
      </c>
      <c r="B21" s="6">
        <f t="shared" si="0"/>
        <v>441</v>
      </c>
      <c r="C21" s="6">
        <f t="shared" si="1"/>
        <v>9261</v>
      </c>
      <c r="D21" s="6">
        <f t="shared" si="2"/>
        <v>194481</v>
      </c>
      <c r="E21" s="6">
        <f t="shared" si="3"/>
        <v>4084101</v>
      </c>
      <c r="F21" s="6">
        <f t="shared" si="4"/>
        <v>85766121</v>
      </c>
      <c r="G21" s="6">
        <f t="shared" si="5"/>
        <v>1801088541</v>
      </c>
      <c r="H21" s="6">
        <f t="shared" si="6"/>
        <v>37822859361</v>
      </c>
      <c r="I21" s="6">
        <f>'Training Data'!B19</f>
        <v>63.08</v>
      </c>
      <c r="J21" s="6">
        <f t="shared" si="7"/>
        <v>64.259318210793936</v>
      </c>
      <c r="K21" s="6">
        <f t="shared" si="8"/>
        <v>-1.1793182107939373</v>
      </c>
      <c r="L21" s="6">
        <f t="shared" si="9"/>
        <v>1.1793182107939373</v>
      </c>
    </row>
    <row r="22" spans="1:12" x14ac:dyDescent="0.35">
      <c r="A22" s="6">
        <f>'Training Data'!A20</f>
        <v>22</v>
      </c>
      <c r="B22" s="6">
        <f t="shared" si="0"/>
        <v>484</v>
      </c>
      <c r="C22" s="6">
        <f t="shared" si="1"/>
        <v>10648</v>
      </c>
      <c r="D22" s="6">
        <f t="shared" si="2"/>
        <v>234256</v>
      </c>
      <c r="E22" s="6">
        <f t="shared" si="3"/>
        <v>5153632</v>
      </c>
      <c r="F22" s="6">
        <f t="shared" si="4"/>
        <v>113379904</v>
      </c>
      <c r="G22" s="6">
        <f t="shared" si="5"/>
        <v>2494357888</v>
      </c>
      <c r="H22" s="6">
        <f t="shared" si="6"/>
        <v>54875873536</v>
      </c>
      <c r="I22" s="6">
        <f>'Training Data'!B20</f>
        <v>69.28</v>
      </c>
      <c r="J22" s="6">
        <f t="shared" si="7"/>
        <v>68.245162336415888</v>
      </c>
      <c r="K22" s="6">
        <f t="shared" si="8"/>
        <v>1.0348376635841134</v>
      </c>
      <c r="L22" s="6">
        <f t="shared" si="9"/>
        <v>1.0348376635841134</v>
      </c>
    </row>
    <row r="23" spans="1:12" x14ac:dyDescent="0.35">
      <c r="A23" s="6">
        <f>'Training Data'!A21</f>
        <v>24</v>
      </c>
      <c r="B23" s="6">
        <f t="shared" si="0"/>
        <v>576</v>
      </c>
      <c r="C23" s="6">
        <f t="shared" si="1"/>
        <v>13824</v>
      </c>
      <c r="D23" s="6">
        <f t="shared" si="2"/>
        <v>331776</v>
      </c>
      <c r="E23" s="6">
        <f t="shared" si="3"/>
        <v>7962624</v>
      </c>
      <c r="F23" s="6">
        <f t="shared" si="4"/>
        <v>191102976</v>
      </c>
      <c r="G23" s="6">
        <f t="shared" si="5"/>
        <v>4586471424</v>
      </c>
      <c r="H23" s="6">
        <f t="shared" si="6"/>
        <v>110075314176</v>
      </c>
      <c r="I23" s="6">
        <f>'Training Data'!B21</f>
        <v>72.09</v>
      </c>
      <c r="J23" s="6">
        <f t="shared" si="7"/>
        <v>72.194837574490521</v>
      </c>
      <c r="K23" s="6">
        <f t="shared" si="8"/>
        <v>-0.10483757449051723</v>
      </c>
      <c r="L23" s="6">
        <f t="shared" si="9"/>
        <v>0.10483757449051723</v>
      </c>
    </row>
    <row r="25" spans="1:12" x14ac:dyDescent="0.35">
      <c r="A25" s="9" t="s">
        <v>18</v>
      </c>
    </row>
    <row r="26" spans="1:12" x14ac:dyDescent="0.35">
      <c r="A26" s="5" t="s">
        <v>2</v>
      </c>
      <c r="B26" s="5" t="s">
        <v>14</v>
      </c>
      <c r="C26" s="5" t="s">
        <v>31</v>
      </c>
      <c r="D26" s="5" t="s">
        <v>32</v>
      </c>
      <c r="E26" s="5" t="s">
        <v>33</v>
      </c>
      <c r="F26" s="5" t="s">
        <v>34</v>
      </c>
      <c r="G26" s="5" t="s">
        <v>35</v>
      </c>
      <c r="H26" s="5" t="s">
        <v>36</v>
      </c>
      <c r="I26" s="5" t="s">
        <v>3</v>
      </c>
      <c r="J26" s="5" t="s">
        <v>15</v>
      </c>
      <c r="K26" s="5" t="s">
        <v>16</v>
      </c>
      <c r="L26" s="5" t="s">
        <v>17</v>
      </c>
    </row>
    <row r="27" spans="1:12" x14ac:dyDescent="0.35">
      <c r="A27" s="7">
        <f>'Test Data'!A4</f>
        <v>2</v>
      </c>
      <c r="B27" s="7">
        <f t="shared" ref="B27:B32" si="10">A27^2</f>
        <v>4</v>
      </c>
      <c r="C27" s="7">
        <f t="shared" ref="C27:C32" si="11">A27^3</f>
        <v>8</v>
      </c>
      <c r="D27" s="7">
        <f t="shared" ref="D27:D32" si="12">A27^4</f>
        <v>16</v>
      </c>
      <c r="E27" s="7">
        <f t="shared" ref="E27:E32" si="13">A27^5</f>
        <v>32</v>
      </c>
      <c r="F27" s="7">
        <f t="shared" ref="F27:F32" si="14">A27^6</f>
        <v>64</v>
      </c>
      <c r="G27" s="7">
        <f t="shared" ref="G27:G32" si="15">A27^7</f>
        <v>128</v>
      </c>
      <c r="H27" s="7">
        <f t="shared" ref="H27:H32" si="16">A27^8</f>
        <v>256</v>
      </c>
      <c r="I27" s="7">
        <f>'Test Data'!B4</f>
        <v>16.84</v>
      </c>
      <c r="J27" s="7">
        <f t="shared" ref="J27:J32" si="17">$V$3+$U$3*A27+$T$3*A27^2+$S$3*A27^3+$R$3*A27^4+$Q$3*A27^5+$P$3*A27^6+$O$3*A27^7+$N$3*A27^8</f>
        <v>22.787720696086087</v>
      </c>
      <c r="K27" s="7">
        <f t="shared" ref="K27:K32" si="18">I27-J27</f>
        <v>-5.9477206960860869</v>
      </c>
      <c r="L27" s="7">
        <f t="shared" ref="L27:L32" si="19">ABS(K27)</f>
        <v>5.9477206960860869</v>
      </c>
    </row>
    <row r="28" spans="1:12" x14ac:dyDescent="0.35">
      <c r="A28" s="7">
        <f>'Test Data'!A5</f>
        <v>6</v>
      </c>
      <c r="B28" s="7">
        <f t="shared" si="10"/>
        <v>36</v>
      </c>
      <c r="C28" s="7">
        <f t="shared" si="11"/>
        <v>216</v>
      </c>
      <c r="D28" s="7">
        <f t="shared" si="12"/>
        <v>1296</v>
      </c>
      <c r="E28" s="7">
        <f t="shared" si="13"/>
        <v>7776</v>
      </c>
      <c r="F28" s="7">
        <f t="shared" si="14"/>
        <v>46656</v>
      </c>
      <c r="G28" s="7">
        <f t="shared" si="15"/>
        <v>279936</v>
      </c>
      <c r="H28" s="7">
        <f t="shared" si="16"/>
        <v>1679616</v>
      </c>
      <c r="I28" s="7">
        <f>'Test Data'!B5</f>
        <v>23.23</v>
      </c>
      <c r="J28" s="7">
        <f t="shared" si="17"/>
        <v>21.732420640988018</v>
      </c>
      <c r="K28" s="7">
        <f t="shared" si="18"/>
        <v>1.4975793590119828</v>
      </c>
      <c r="L28" s="7">
        <f t="shared" si="19"/>
        <v>1.4975793590119828</v>
      </c>
    </row>
    <row r="29" spans="1:12" x14ac:dyDescent="0.35">
      <c r="A29" s="7">
        <f>'Test Data'!A6</f>
        <v>10</v>
      </c>
      <c r="B29" s="7">
        <f t="shared" si="10"/>
        <v>100</v>
      </c>
      <c r="C29" s="7">
        <f t="shared" si="11"/>
        <v>1000</v>
      </c>
      <c r="D29" s="7">
        <f t="shared" si="12"/>
        <v>10000</v>
      </c>
      <c r="E29" s="7">
        <f t="shared" si="13"/>
        <v>100000</v>
      </c>
      <c r="F29" s="7">
        <f t="shared" si="14"/>
        <v>1000000</v>
      </c>
      <c r="G29" s="7">
        <f t="shared" si="15"/>
        <v>10000000</v>
      </c>
      <c r="H29" s="7">
        <f t="shared" si="16"/>
        <v>100000000</v>
      </c>
      <c r="I29" s="7">
        <f>'Test Data'!B6</f>
        <v>35.549999999999997</v>
      </c>
      <c r="J29" s="7">
        <f t="shared" si="17"/>
        <v>30.011410885300258</v>
      </c>
      <c r="K29" s="7">
        <f t="shared" si="18"/>
        <v>5.5385891146997395</v>
      </c>
      <c r="L29" s="7">
        <f t="shared" si="19"/>
        <v>5.5385891146997395</v>
      </c>
    </row>
    <row r="30" spans="1:12" x14ac:dyDescent="0.35">
      <c r="A30" s="7">
        <f>'Test Data'!A7</f>
        <v>14</v>
      </c>
      <c r="B30" s="7">
        <f t="shared" si="10"/>
        <v>196</v>
      </c>
      <c r="C30" s="7">
        <f t="shared" si="11"/>
        <v>2744</v>
      </c>
      <c r="D30" s="7">
        <f t="shared" si="12"/>
        <v>38416</v>
      </c>
      <c r="E30" s="7">
        <f t="shared" si="13"/>
        <v>537824</v>
      </c>
      <c r="F30" s="7">
        <f t="shared" si="14"/>
        <v>7529536</v>
      </c>
      <c r="G30" s="7">
        <f t="shared" si="15"/>
        <v>105413504</v>
      </c>
      <c r="H30" s="7">
        <f t="shared" si="16"/>
        <v>1475789056</v>
      </c>
      <c r="I30" s="7">
        <f>'Test Data'!B7</f>
        <v>39.619999999999997</v>
      </c>
      <c r="J30" s="7">
        <f t="shared" si="17"/>
        <v>40.104069455923423</v>
      </c>
      <c r="K30" s="7">
        <f t="shared" si="18"/>
        <v>-0.4840694559234251</v>
      </c>
      <c r="L30" s="7">
        <f t="shared" si="19"/>
        <v>0.4840694559234251</v>
      </c>
    </row>
    <row r="31" spans="1:12" x14ac:dyDescent="0.35">
      <c r="A31" s="7">
        <f>'Test Data'!A8</f>
        <v>18</v>
      </c>
      <c r="B31" s="7">
        <f t="shared" si="10"/>
        <v>324</v>
      </c>
      <c r="C31" s="7">
        <f t="shared" si="11"/>
        <v>5832</v>
      </c>
      <c r="D31" s="7">
        <f t="shared" si="12"/>
        <v>104976</v>
      </c>
      <c r="E31" s="7">
        <f t="shared" si="13"/>
        <v>1889568</v>
      </c>
      <c r="F31" s="7">
        <f t="shared" si="14"/>
        <v>34012224</v>
      </c>
      <c r="G31" s="7">
        <f t="shared" si="15"/>
        <v>612220032</v>
      </c>
      <c r="H31" s="7">
        <f t="shared" si="16"/>
        <v>11019960576</v>
      </c>
      <c r="I31" s="7">
        <f>'Test Data'!B8</f>
        <v>52.63</v>
      </c>
      <c r="J31" s="7">
        <f t="shared" si="17"/>
        <v>53.127318028800573</v>
      </c>
      <c r="K31" s="7">
        <f t="shared" si="18"/>
        <v>-0.49731802880057074</v>
      </c>
      <c r="L31" s="7">
        <f t="shared" si="19"/>
        <v>0.49731802880057074</v>
      </c>
    </row>
    <row r="32" spans="1:12" x14ac:dyDescent="0.35">
      <c r="A32" s="7">
        <f>'Test Data'!A9</f>
        <v>23</v>
      </c>
      <c r="B32" s="7">
        <f t="shared" si="10"/>
        <v>529</v>
      </c>
      <c r="C32" s="7">
        <f t="shared" si="11"/>
        <v>12167</v>
      </c>
      <c r="D32" s="7">
        <f t="shared" si="12"/>
        <v>279841</v>
      </c>
      <c r="E32" s="7">
        <f t="shared" si="13"/>
        <v>6436343</v>
      </c>
      <c r="F32" s="7">
        <f t="shared" si="14"/>
        <v>148035889</v>
      </c>
      <c r="G32" s="7">
        <f t="shared" si="15"/>
        <v>3404825447</v>
      </c>
      <c r="H32" s="7">
        <f t="shared" si="16"/>
        <v>78310985281</v>
      </c>
      <c r="I32" s="7">
        <f>'Test Data'!B9</f>
        <v>70.78</v>
      </c>
      <c r="J32" s="7">
        <f t="shared" si="17"/>
        <v>71.530774294329603</v>
      </c>
      <c r="K32" s="7">
        <f t="shared" si="18"/>
        <v>-0.7507742943296023</v>
      </c>
      <c r="L32" s="7">
        <f t="shared" si="19"/>
        <v>0.7507742943296023</v>
      </c>
    </row>
    <row r="34" spans="1:12" x14ac:dyDescent="0.35">
      <c r="A34" s="9" t="s">
        <v>19</v>
      </c>
    </row>
    <row r="35" spans="1:12" x14ac:dyDescent="0.35">
      <c r="A35" s="5" t="s">
        <v>2</v>
      </c>
      <c r="B35" s="5" t="s">
        <v>14</v>
      </c>
      <c r="C35" s="5" t="s">
        <v>31</v>
      </c>
      <c r="D35" s="5" t="s">
        <v>32</v>
      </c>
      <c r="E35" s="5" t="s">
        <v>33</v>
      </c>
      <c r="F35" s="5" t="s">
        <v>34</v>
      </c>
      <c r="G35" s="5" t="s">
        <v>35</v>
      </c>
      <c r="H35" s="5" t="s">
        <v>36</v>
      </c>
      <c r="I35" s="5" t="s">
        <v>3</v>
      </c>
      <c r="J35" s="5" t="s">
        <v>15</v>
      </c>
      <c r="K35" s="5" t="s">
        <v>16</v>
      </c>
      <c r="L35" s="5" t="s">
        <v>17</v>
      </c>
    </row>
    <row r="36" spans="1:12" x14ac:dyDescent="0.35">
      <c r="A36" s="8">
        <f>'Extension Data'!A4</f>
        <v>25</v>
      </c>
      <c r="B36" s="8">
        <f t="shared" ref="B36:B71" si="20">A36^2</f>
        <v>625</v>
      </c>
      <c r="C36" s="8">
        <f t="shared" ref="C36:C71" si="21">A36^3</f>
        <v>15625</v>
      </c>
      <c r="D36" s="8">
        <f t="shared" ref="D36:D71" si="22">A36^4</f>
        <v>390625</v>
      </c>
      <c r="E36" s="8">
        <f t="shared" ref="E36:E71" si="23">A36^5</f>
        <v>9765625</v>
      </c>
      <c r="F36" s="8">
        <f t="shared" ref="F36:F71" si="24">A36^6</f>
        <v>244140625</v>
      </c>
      <c r="G36" s="8">
        <f t="shared" ref="G36:G71" si="25">A36^7</f>
        <v>6103515625</v>
      </c>
      <c r="H36" s="8">
        <f t="shared" ref="H36:H71" si="26">A36^8</f>
        <v>152587890625</v>
      </c>
      <c r="I36" s="8">
        <f>'Extension Data'!B4</f>
        <v>75.959999999999994</v>
      </c>
      <c r="J36" s="8">
        <f t="shared" ref="J36:J71" si="27">$V$3+$U$3*A36+$T$3*A36^2+$S$3*A36^3+$R$3*A36^4+$Q$3*A36^5+$P$3*A36^6+$O$3*A36^7+$N$3*A36^8</f>
        <v>66.292459204825718</v>
      </c>
      <c r="K36" s="8">
        <f t="shared" ref="K36:K71" si="28">I36-J36</f>
        <v>9.6675407951742756</v>
      </c>
      <c r="L36" s="8">
        <f t="shared" ref="L36:L71" si="29">ABS(K36)</f>
        <v>9.6675407951742756</v>
      </c>
    </row>
    <row r="37" spans="1:12" x14ac:dyDescent="0.35">
      <c r="A37" s="8">
        <f>'Extension Data'!A5</f>
        <v>26</v>
      </c>
      <c r="B37" s="8">
        <f t="shared" si="20"/>
        <v>676</v>
      </c>
      <c r="C37" s="8">
        <f t="shared" si="21"/>
        <v>17576</v>
      </c>
      <c r="D37" s="8">
        <f t="shared" si="22"/>
        <v>456976</v>
      </c>
      <c r="E37" s="8">
        <f t="shared" si="23"/>
        <v>11881376</v>
      </c>
      <c r="F37" s="8">
        <f t="shared" si="24"/>
        <v>308915776</v>
      </c>
      <c r="G37" s="8">
        <f t="shared" si="25"/>
        <v>8031810176</v>
      </c>
      <c r="H37" s="8">
        <f t="shared" si="26"/>
        <v>208827064576</v>
      </c>
      <c r="I37" s="8">
        <f>'Extension Data'!B5</f>
        <v>80.569999999999993</v>
      </c>
      <c r="J37" s="8">
        <f t="shared" si="27"/>
        <v>46.640433282198501</v>
      </c>
      <c r="K37" s="8">
        <f t="shared" si="28"/>
        <v>33.929566717801492</v>
      </c>
      <c r="L37" s="8">
        <f t="shared" si="29"/>
        <v>33.929566717801492</v>
      </c>
    </row>
    <row r="38" spans="1:12" x14ac:dyDescent="0.35">
      <c r="A38" s="8">
        <f>'Extension Data'!A6</f>
        <v>27</v>
      </c>
      <c r="B38" s="8">
        <f t="shared" si="20"/>
        <v>729</v>
      </c>
      <c r="C38" s="8">
        <f t="shared" si="21"/>
        <v>19683</v>
      </c>
      <c r="D38" s="8">
        <f t="shared" si="22"/>
        <v>531441</v>
      </c>
      <c r="E38" s="8">
        <f t="shared" si="23"/>
        <v>14348907</v>
      </c>
      <c r="F38" s="8">
        <f t="shared" si="24"/>
        <v>387420489</v>
      </c>
      <c r="G38" s="8">
        <f t="shared" si="25"/>
        <v>10460353203</v>
      </c>
      <c r="H38" s="8">
        <f t="shared" si="26"/>
        <v>282429536481</v>
      </c>
      <c r="I38" s="8">
        <f>'Extension Data'!B6</f>
        <v>86.49</v>
      </c>
      <c r="J38" s="8">
        <f t="shared" si="27"/>
        <v>1.1708775982770021</v>
      </c>
      <c r="K38" s="8">
        <f t="shared" si="28"/>
        <v>85.319122401722993</v>
      </c>
      <c r="L38" s="8">
        <f t="shared" si="29"/>
        <v>85.319122401722993</v>
      </c>
    </row>
    <row r="39" spans="1:12" x14ac:dyDescent="0.35">
      <c r="A39" s="8">
        <f>'Extension Data'!A7</f>
        <v>28</v>
      </c>
      <c r="B39" s="8">
        <f t="shared" si="20"/>
        <v>784</v>
      </c>
      <c r="C39" s="8">
        <f t="shared" si="21"/>
        <v>21952</v>
      </c>
      <c r="D39" s="8">
        <f t="shared" si="22"/>
        <v>614656</v>
      </c>
      <c r="E39" s="8">
        <f t="shared" si="23"/>
        <v>17210368</v>
      </c>
      <c r="F39" s="8">
        <f t="shared" si="24"/>
        <v>481890304</v>
      </c>
      <c r="G39" s="8">
        <f t="shared" si="25"/>
        <v>13492928512</v>
      </c>
      <c r="H39" s="8">
        <f t="shared" si="26"/>
        <v>377801998336</v>
      </c>
      <c r="I39" s="8">
        <f>'Extension Data'!B7</f>
        <v>85.03</v>
      </c>
      <c r="J39" s="8">
        <f t="shared" si="27"/>
        <v>-89.232063883391675</v>
      </c>
      <c r="K39" s="8">
        <f t="shared" si="28"/>
        <v>174.26206388339168</v>
      </c>
      <c r="L39" s="8">
        <f t="shared" si="29"/>
        <v>174.26206388339168</v>
      </c>
    </row>
    <row r="40" spans="1:12" x14ac:dyDescent="0.35">
      <c r="A40" s="8">
        <f>'Extension Data'!A8</f>
        <v>29</v>
      </c>
      <c r="B40" s="8">
        <f t="shared" si="20"/>
        <v>841</v>
      </c>
      <c r="C40" s="8">
        <f t="shared" si="21"/>
        <v>24389</v>
      </c>
      <c r="D40" s="8">
        <f t="shared" si="22"/>
        <v>707281</v>
      </c>
      <c r="E40" s="8">
        <f t="shared" si="23"/>
        <v>20511149</v>
      </c>
      <c r="F40" s="8">
        <f t="shared" si="24"/>
        <v>594823321</v>
      </c>
      <c r="G40" s="8">
        <f t="shared" si="25"/>
        <v>17249876309</v>
      </c>
      <c r="H40" s="8">
        <f t="shared" si="26"/>
        <v>500246412961</v>
      </c>
      <c r="I40" s="8">
        <f>'Extension Data'!B8</f>
        <v>87.94</v>
      </c>
      <c r="J40" s="8">
        <f t="shared" si="27"/>
        <v>-253.50503919360926</v>
      </c>
      <c r="K40" s="8">
        <f t="shared" si="28"/>
        <v>341.44503919360926</v>
      </c>
      <c r="L40" s="8">
        <f t="shared" si="29"/>
        <v>341.44503919360926</v>
      </c>
    </row>
    <row r="41" spans="1:12" x14ac:dyDescent="0.35">
      <c r="A41" s="8">
        <f>'Extension Data'!A9</f>
        <v>30</v>
      </c>
      <c r="B41" s="8">
        <f t="shared" si="20"/>
        <v>900</v>
      </c>
      <c r="C41" s="8">
        <f t="shared" si="21"/>
        <v>27000</v>
      </c>
      <c r="D41" s="8">
        <f t="shared" si="22"/>
        <v>810000</v>
      </c>
      <c r="E41" s="8">
        <f t="shared" si="23"/>
        <v>24300000</v>
      </c>
      <c r="F41" s="8">
        <f t="shared" si="24"/>
        <v>729000000</v>
      </c>
      <c r="G41" s="8">
        <f t="shared" si="25"/>
        <v>21870000000</v>
      </c>
      <c r="H41" s="8">
        <f t="shared" si="26"/>
        <v>656100000000</v>
      </c>
      <c r="I41" s="8">
        <f>'Extension Data'!B9</f>
        <v>93.28</v>
      </c>
      <c r="J41" s="8">
        <f t="shared" si="27"/>
        <v>-533.88769290842174</v>
      </c>
      <c r="K41" s="8">
        <f t="shared" si="28"/>
        <v>627.16769290842171</v>
      </c>
      <c r="L41" s="8">
        <f t="shared" si="29"/>
        <v>627.16769290842171</v>
      </c>
    </row>
    <row r="42" spans="1:12" x14ac:dyDescent="0.35">
      <c r="A42" s="8">
        <f>'Extension Data'!A10</f>
        <v>31</v>
      </c>
      <c r="B42" s="8">
        <f t="shared" si="20"/>
        <v>961</v>
      </c>
      <c r="C42" s="8">
        <f t="shared" si="21"/>
        <v>29791</v>
      </c>
      <c r="D42" s="8">
        <f t="shared" si="22"/>
        <v>923521</v>
      </c>
      <c r="E42" s="8">
        <f t="shared" si="23"/>
        <v>28629151</v>
      </c>
      <c r="F42" s="8">
        <f t="shared" si="24"/>
        <v>887503681</v>
      </c>
      <c r="G42" s="8">
        <f t="shared" si="25"/>
        <v>27512614111</v>
      </c>
      <c r="H42" s="8">
        <f t="shared" si="26"/>
        <v>852891037441</v>
      </c>
      <c r="I42" s="8">
        <f>'Extension Data'!B10</f>
        <v>91.87</v>
      </c>
      <c r="J42" s="8">
        <f t="shared" si="27"/>
        <v>-990.22140208081692</v>
      </c>
      <c r="K42" s="8">
        <f t="shared" si="28"/>
        <v>1082.0914020808168</v>
      </c>
      <c r="L42" s="8">
        <f t="shared" si="29"/>
        <v>1082.0914020808168</v>
      </c>
    </row>
    <row r="43" spans="1:12" x14ac:dyDescent="0.35">
      <c r="A43" s="8">
        <f>'Extension Data'!A11</f>
        <v>32</v>
      </c>
      <c r="B43" s="8">
        <f t="shared" si="20"/>
        <v>1024</v>
      </c>
      <c r="C43" s="8">
        <f t="shared" si="21"/>
        <v>32768</v>
      </c>
      <c r="D43" s="8">
        <f t="shared" si="22"/>
        <v>1048576</v>
      </c>
      <c r="E43" s="8">
        <f t="shared" si="23"/>
        <v>33554432</v>
      </c>
      <c r="F43" s="8">
        <f t="shared" si="24"/>
        <v>1073741824</v>
      </c>
      <c r="G43" s="8">
        <f t="shared" si="25"/>
        <v>34359738368</v>
      </c>
      <c r="H43" s="8">
        <f t="shared" si="26"/>
        <v>1099511627776</v>
      </c>
      <c r="I43" s="8">
        <f>'Extension Data'!B11</f>
        <v>95.55</v>
      </c>
      <c r="J43" s="8">
        <f t="shared" si="27"/>
        <v>-1705.1789677951019</v>
      </c>
      <c r="K43" s="8">
        <f t="shared" si="28"/>
        <v>1800.7289677951019</v>
      </c>
      <c r="L43" s="8">
        <f t="shared" si="29"/>
        <v>1800.7289677951019</v>
      </c>
    </row>
    <row r="44" spans="1:12" x14ac:dyDescent="0.35">
      <c r="A44" s="8">
        <f>'Extension Data'!A12</f>
        <v>33</v>
      </c>
      <c r="B44" s="8">
        <f t="shared" si="20"/>
        <v>1089</v>
      </c>
      <c r="C44" s="8">
        <f t="shared" si="21"/>
        <v>35937</v>
      </c>
      <c r="D44" s="8">
        <f t="shared" si="22"/>
        <v>1185921</v>
      </c>
      <c r="E44" s="8">
        <f t="shared" si="23"/>
        <v>39135393</v>
      </c>
      <c r="F44" s="8">
        <f t="shared" si="24"/>
        <v>1291467969</v>
      </c>
      <c r="G44" s="8">
        <f t="shared" si="25"/>
        <v>42618442977</v>
      </c>
      <c r="H44" s="8">
        <f t="shared" si="26"/>
        <v>1406408618241</v>
      </c>
      <c r="I44" s="8">
        <f>'Extension Data'!B12</f>
        <v>100.38</v>
      </c>
      <c r="J44" s="8">
        <f t="shared" si="27"/>
        <v>-2790.5469658367219</v>
      </c>
      <c r="K44" s="8">
        <f t="shared" si="28"/>
        <v>2890.926965836722</v>
      </c>
      <c r="L44" s="8">
        <f t="shared" si="29"/>
        <v>2890.926965836722</v>
      </c>
    </row>
    <row r="45" spans="1:12" x14ac:dyDescent="0.35">
      <c r="A45" s="8">
        <f>'Extension Data'!A13</f>
        <v>34</v>
      </c>
      <c r="B45" s="8">
        <f t="shared" si="20"/>
        <v>1156</v>
      </c>
      <c r="C45" s="8">
        <f t="shared" si="21"/>
        <v>39304</v>
      </c>
      <c r="D45" s="8">
        <f t="shared" si="22"/>
        <v>1336336</v>
      </c>
      <c r="E45" s="8">
        <f t="shared" si="23"/>
        <v>45435424</v>
      </c>
      <c r="F45" s="8">
        <f t="shared" si="24"/>
        <v>1544804416</v>
      </c>
      <c r="G45" s="8">
        <f t="shared" si="25"/>
        <v>52523350144</v>
      </c>
      <c r="H45" s="8">
        <f t="shared" si="26"/>
        <v>1785793904896</v>
      </c>
      <c r="I45" s="8">
        <f>'Extension Data'!B13</f>
        <v>101.82</v>
      </c>
      <c r="J45" s="8">
        <f t="shared" si="27"/>
        <v>-4394.6897392214159</v>
      </c>
      <c r="K45" s="8">
        <f t="shared" si="28"/>
        <v>4496.5097392214157</v>
      </c>
      <c r="L45" s="8">
        <f t="shared" si="29"/>
        <v>4496.5097392214157</v>
      </c>
    </row>
    <row r="46" spans="1:12" x14ac:dyDescent="0.35">
      <c r="A46" s="8">
        <f>'Extension Data'!A14</f>
        <v>35</v>
      </c>
      <c r="B46" s="8">
        <f t="shared" si="20"/>
        <v>1225</v>
      </c>
      <c r="C46" s="8">
        <f t="shared" si="21"/>
        <v>42875</v>
      </c>
      <c r="D46" s="8">
        <f t="shared" si="22"/>
        <v>1500625</v>
      </c>
      <c r="E46" s="8">
        <f t="shared" si="23"/>
        <v>52521875</v>
      </c>
      <c r="F46" s="8">
        <f t="shared" si="24"/>
        <v>1838265625</v>
      </c>
      <c r="G46" s="8">
        <f t="shared" si="25"/>
        <v>64339296875</v>
      </c>
      <c r="H46" s="8">
        <f t="shared" si="26"/>
        <v>2251875390625</v>
      </c>
      <c r="I46" s="8">
        <f>'Extension Data'!B14</f>
        <v>102.65</v>
      </c>
      <c r="J46" s="8">
        <f t="shared" si="27"/>
        <v>-6711.3312945781508</v>
      </c>
      <c r="K46" s="8">
        <f t="shared" si="28"/>
        <v>6813.9812945781505</v>
      </c>
      <c r="L46" s="8">
        <f t="shared" si="29"/>
        <v>6813.9812945781505</v>
      </c>
    </row>
    <row r="47" spans="1:12" x14ac:dyDescent="0.35">
      <c r="A47" s="8">
        <f>'Extension Data'!A15</f>
        <v>36</v>
      </c>
      <c r="B47" s="8">
        <f t="shared" si="20"/>
        <v>1296</v>
      </c>
      <c r="C47" s="8">
        <f t="shared" si="21"/>
        <v>46656</v>
      </c>
      <c r="D47" s="8">
        <f t="shared" si="22"/>
        <v>1679616</v>
      </c>
      <c r="E47" s="8">
        <f t="shared" si="23"/>
        <v>60466176</v>
      </c>
      <c r="F47" s="8">
        <f t="shared" si="24"/>
        <v>2176782336</v>
      </c>
      <c r="G47" s="8">
        <f t="shared" si="25"/>
        <v>78364164096</v>
      </c>
      <c r="H47" s="8">
        <f t="shared" si="26"/>
        <v>2821109907456</v>
      </c>
      <c r="I47" s="8">
        <f>'Extension Data'!B15</f>
        <v>105.71</v>
      </c>
      <c r="J47" s="8">
        <f t="shared" si="27"/>
        <v>-9989.7986436262145</v>
      </c>
      <c r="K47" s="8">
        <f t="shared" si="28"/>
        <v>10095.508643626214</v>
      </c>
      <c r="L47" s="8">
        <f t="shared" si="29"/>
        <v>10095.508643626214</v>
      </c>
    </row>
    <row r="48" spans="1:12" x14ac:dyDescent="0.35">
      <c r="A48" s="8">
        <f>'Extension Data'!A16</f>
        <v>37</v>
      </c>
      <c r="B48" s="8">
        <f t="shared" si="20"/>
        <v>1369</v>
      </c>
      <c r="C48" s="8">
        <f t="shared" si="21"/>
        <v>50653</v>
      </c>
      <c r="D48" s="8">
        <f t="shared" si="22"/>
        <v>1874161</v>
      </c>
      <c r="E48" s="8">
        <f t="shared" si="23"/>
        <v>69343957</v>
      </c>
      <c r="F48" s="8">
        <f t="shared" si="24"/>
        <v>2565726409</v>
      </c>
      <c r="G48" s="8">
        <f t="shared" si="25"/>
        <v>94931877133</v>
      </c>
      <c r="H48" s="8">
        <f t="shared" si="26"/>
        <v>3512479453921</v>
      </c>
      <c r="I48" s="8">
        <f>'Extension Data'!B16</f>
        <v>99.2</v>
      </c>
      <c r="J48" s="8">
        <f t="shared" si="27"/>
        <v>-14546.877410239074</v>
      </c>
      <c r="K48" s="8">
        <f t="shared" si="28"/>
        <v>14646.077410239075</v>
      </c>
      <c r="L48" s="8">
        <f t="shared" si="29"/>
        <v>14646.077410239075</v>
      </c>
    </row>
    <row r="49" spans="1:12" x14ac:dyDescent="0.35">
      <c r="A49" s="8">
        <f>'Extension Data'!A17</f>
        <v>38</v>
      </c>
      <c r="B49" s="8">
        <f t="shared" si="20"/>
        <v>1444</v>
      </c>
      <c r="C49" s="8">
        <f t="shared" si="21"/>
        <v>54872</v>
      </c>
      <c r="D49" s="8">
        <f t="shared" si="22"/>
        <v>2085136</v>
      </c>
      <c r="E49" s="8">
        <f t="shared" si="23"/>
        <v>79235168</v>
      </c>
      <c r="F49" s="8">
        <f t="shared" si="24"/>
        <v>3010936384</v>
      </c>
      <c r="G49" s="8">
        <f t="shared" si="25"/>
        <v>114415582592</v>
      </c>
      <c r="H49" s="8">
        <f t="shared" si="26"/>
        <v>4347792138496</v>
      </c>
      <c r="I49" s="8">
        <f>'Extension Data'!B17</f>
        <v>109.5</v>
      </c>
      <c r="J49" s="8">
        <f t="shared" si="27"/>
        <v>-20780.437802843866</v>
      </c>
      <c r="K49" s="8">
        <f t="shared" si="28"/>
        <v>20889.937802843866</v>
      </c>
      <c r="L49" s="8">
        <f t="shared" si="29"/>
        <v>20889.937802843866</v>
      </c>
    </row>
    <row r="50" spans="1:12" x14ac:dyDescent="0.35">
      <c r="A50" s="8">
        <f>'Extension Data'!A18</f>
        <v>39</v>
      </c>
      <c r="B50" s="8">
        <f t="shared" si="20"/>
        <v>1521</v>
      </c>
      <c r="C50" s="8">
        <f t="shared" si="21"/>
        <v>59319</v>
      </c>
      <c r="D50" s="8">
        <f t="shared" si="22"/>
        <v>2313441</v>
      </c>
      <c r="E50" s="8">
        <f t="shared" si="23"/>
        <v>90224199</v>
      </c>
      <c r="F50" s="8">
        <f t="shared" si="24"/>
        <v>3518743761</v>
      </c>
      <c r="G50" s="8">
        <f t="shared" si="25"/>
        <v>137231006679</v>
      </c>
      <c r="H50" s="8">
        <f t="shared" si="26"/>
        <v>5352009260481</v>
      </c>
      <c r="I50" s="8">
        <f>'Extension Data'!B18</f>
        <v>106.04</v>
      </c>
      <c r="J50" s="8">
        <f t="shared" si="27"/>
        <v>-29184.996331139933</v>
      </c>
      <c r="K50" s="8">
        <f t="shared" si="28"/>
        <v>29291.036331139934</v>
      </c>
      <c r="L50" s="8">
        <f t="shared" si="29"/>
        <v>29291.036331139934</v>
      </c>
    </row>
    <row r="51" spans="1:12" x14ac:dyDescent="0.35">
      <c r="A51" s="8">
        <f>'Extension Data'!A19</f>
        <v>40</v>
      </c>
      <c r="B51" s="8">
        <f t="shared" si="20"/>
        <v>1600</v>
      </c>
      <c r="C51" s="8">
        <f t="shared" si="21"/>
        <v>64000</v>
      </c>
      <c r="D51" s="8">
        <f t="shared" si="22"/>
        <v>2560000</v>
      </c>
      <c r="E51" s="8">
        <f t="shared" si="23"/>
        <v>102400000</v>
      </c>
      <c r="F51" s="8">
        <f t="shared" si="24"/>
        <v>4096000000</v>
      </c>
      <c r="G51" s="8">
        <f t="shared" si="25"/>
        <v>163840000000</v>
      </c>
      <c r="H51" s="8">
        <f t="shared" si="26"/>
        <v>6553600000000</v>
      </c>
      <c r="I51" s="8">
        <f>'Extension Data'!B19</f>
        <v>105.34</v>
      </c>
      <c r="J51" s="8">
        <f t="shared" si="27"/>
        <v>-40369.38592538517</v>
      </c>
      <c r="K51" s="8">
        <f t="shared" si="28"/>
        <v>40474.725925385166</v>
      </c>
      <c r="L51" s="8">
        <f t="shared" si="29"/>
        <v>40474.725925385166</v>
      </c>
    </row>
    <row r="52" spans="1:12" x14ac:dyDescent="0.35">
      <c r="A52" s="8">
        <f>'Extension Data'!A20</f>
        <v>41</v>
      </c>
      <c r="B52" s="8">
        <f t="shared" si="20"/>
        <v>1681</v>
      </c>
      <c r="C52" s="8">
        <f t="shared" si="21"/>
        <v>68921</v>
      </c>
      <c r="D52" s="8">
        <f t="shared" si="22"/>
        <v>2825761</v>
      </c>
      <c r="E52" s="8">
        <f t="shared" si="23"/>
        <v>115856201</v>
      </c>
      <c r="F52" s="8">
        <f t="shared" si="24"/>
        <v>4750104241</v>
      </c>
      <c r="G52" s="8">
        <f t="shared" si="25"/>
        <v>194754273881</v>
      </c>
      <c r="H52" s="8">
        <f t="shared" si="26"/>
        <v>7984925229121</v>
      </c>
      <c r="I52" s="8">
        <f>'Extension Data'!B20</f>
        <v>110.89</v>
      </c>
      <c r="J52" s="8">
        <f t="shared" si="27"/>
        <v>-55076.714395744028</v>
      </c>
      <c r="K52" s="8">
        <f t="shared" si="28"/>
        <v>55187.604395744027</v>
      </c>
      <c r="L52" s="8">
        <f t="shared" si="29"/>
        <v>55187.604395744027</v>
      </c>
    </row>
    <row r="53" spans="1:12" x14ac:dyDescent="0.35">
      <c r="A53" s="8">
        <f>'Extension Data'!A21</f>
        <v>42</v>
      </c>
      <c r="B53" s="8">
        <f t="shared" si="20"/>
        <v>1764</v>
      </c>
      <c r="C53" s="8">
        <f t="shared" si="21"/>
        <v>74088</v>
      </c>
      <c r="D53" s="8">
        <f t="shared" si="22"/>
        <v>3111696</v>
      </c>
      <c r="E53" s="8">
        <f t="shared" si="23"/>
        <v>130691232</v>
      </c>
      <c r="F53" s="8">
        <f t="shared" si="24"/>
        <v>5489031744</v>
      </c>
      <c r="G53" s="8">
        <f t="shared" si="25"/>
        <v>230539333248</v>
      </c>
      <c r="H53" s="8">
        <f t="shared" si="26"/>
        <v>9682651996416</v>
      </c>
      <c r="I53" s="8">
        <f>'Extension Data'!B21</f>
        <v>112.67</v>
      </c>
      <c r="J53" s="8">
        <f t="shared" si="27"/>
        <v>-74206.798448431306</v>
      </c>
      <c r="K53" s="8">
        <f t="shared" si="28"/>
        <v>74319.468448431304</v>
      </c>
      <c r="L53" s="8">
        <f t="shared" si="29"/>
        <v>74319.468448431304</v>
      </c>
    </row>
    <row r="54" spans="1:12" x14ac:dyDescent="0.35">
      <c r="A54" s="8">
        <f>'Extension Data'!A22</f>
        <v>43</v>
      </c>
      <c r="B54" s="8">
        <f t="shared" si="20"/>
        <v>1849</v>
      </c>
      <c r="C54" s="8">
        <f t="shared" si="21"/>
        <v>79507</v>
      </c>
      <c r="D54" s="8">
        <f t="shared" si="22"/>
        <v>3418801</v>
      </c>
      <c r="E54" s="8">
        <f t="shared" si="23"/>
        <v>147008443</v>
      </c>
      <c r="F54" s="8">
        <f t="shared" si="24"/>
        <v>6321363049</v>
      </c>
      <c r="G54" s="8">
        <f t="shared" si="25"/>
        <v>271818611107</v>
      </c>
      <c r="H54" s="8">
        <f t="shared" si="26"/>
        <v>11688200277601</v>
      </c>
      <c r="I54" s="8">
        <f>'Extension Data'!B22</f>
        <v>110.43</v>
      </c>
      <c r="J54" s="8">
        <f t="shared" si="27"/>
        <v>-98841.267754659057</v>
      </c>
      <c r="K54" s="8">
        <f t="shared" si="28"/>
        <v>98951.69775465905</v>
      </c>
      <c r="L54" s="8">
        <f t="shared" si="29"/>
        <v>98951.69775465905</v>
      </c>
    </row>
    <row r="55" spans="1:12" x14ac:dyDescent="0.35">
      <c r="A55" s="8">
        <f>'Extension Data'!A23</f>
        <v>44</v>
      </c>
      <c r="B55" s="8">
        <f t="shared" si="20"/>
        <v>1936</v>
      </c>
      <c r="C55" s="8">
        <f t="shared" si="21"/>
        <v>85184</v>
      </c>
      <c r="D55" s="8">
        <f t="shared" si="22"/>
        <v>3748096</v>
      </c>
      <c r="E55" s="8">
        <f t="shared" si="23"/>
        <v>164916224</v>
      </c>
      <c r="F55" s="8">
        <f t="shared" si="24"/>
        <v>7256313856</v>
      </c>
      <c r="G55" s="8">
        <f t="shared" si="25"/>
        <v>319277809664</v>
      </c>
      <c r="H55" s="8">
        <f t="shared" si="26"/>
        <v>14048223625216</v>
      </c>
      <c r="I55" s="8">
        <f>'Extension Data'!B23</f>
        <v>109.28</v>
      </c>
      <c r="J55" s="8">
        <f t="shared" si="27"/>
        <v>-130271.54084760463</v>
      </c>
      <c r="K55" s="8">
        <f t="shared" si="28"/>
        <v>130380.82084760463</v>
      </c>
      <c r="L55" s="8">
        <f t="shared" si="29"/>
        <v>130380.82084760463</v>
      </c>
    </row>
    <row r="56" spans="1:12" x14ac:dyDescent="0.35">
      <c r="A56" s="8">
        <f>'Extension Data'!A24</f>
        <v>45</v>
      </c>
      <c r="B56" s="8">
        <f t="shared" si="20"/>
        <v>2025</v>
      </c>
      <c r="C56" s="8">
        <f t="shared" si="21"/>
        <v>91125</v>
      </c>
      <c r="D56" s="8">
        <f t="shared" si="22"/>
        <v>4100625</v>
      </c>
      <c r="E56" s="8">
        <f t="shared" si="23"/>
        <v>184528125</v>
      </c>
      <c r="F56" s="8">
        <f t="shared" si="24"/>
        <v>8303765625</v>
      </c>
      <c r="G56" s="8">
        <f t="shared" si="25"/>
        <v>373669453125</v>
      </c>
      <c r="H56" s="8">
        <f t="shared" si="26"/>
        <v>16815125390625</v>
      </c>
      <c r="I56" s="8">
        <f>'Extension Data'!B24</f>
        <v>112.41</v>
      </c>
      <c r="J56" s="8">
        <f t="shared" si="27"/>
        <v>-170029.88190192496</v>
      </c>
      <c r="K56" s="8">
        <f t="shared" si="28"/>
        <v>170142.29190192497</v>
      </c>
      <c r="L56" s="8">
        <f t="shared" si="29"/>
        <v>170142.29190192497</v>
      </c>
    </row>
    <row r="57" spans="1:12" x14ac:dyDescent="0.35">
      <c r="A57" s="8">
        <f>'Extension Data'!A25</f>
        <v>46</v>
      </c>
      <c r="B57" s="8">
        <f t="shared" si="20"/>
        <v>2116</v>
      </c>
      <c r="C57" s="8">
        <f t="shared" si="21"/>
        <v>97336</v>
      </c>
      <c r="D57" s="8">
        <f t="shared" si="22"/>
        <v>4477456</v>
      </c>
      <c r="E57" s="8">
        <f t="shared" si="23"/>
        <v>205962976</v>
      </c>
      <c r="F57" s="8">
        <f t="shared" si="24"/>
        <v>9474296896</v>
      </c>
      <c r="G57" s="8">
        <f t="shared" si="25"/>
        <v>435817657216</v>
      </c>
      <c r="H57" s="8">
        <f t="shared" si="26"/>
        <v>20047612231936</v>
      </c>
      <c r="I57" s="8">
        <f>'Extension Data'!B25</f>
        <v>112.46</v>
      </c>
      <c r="J57" s="8">
        <f t="shared" si="27"/>
        <v>-219923.75472952519</v>
      </c>
      <c r="K57" s="8">
        <f t="shared" si="28"/>
        <v>220036.21472952518</v>
      </c>
      <c r="L57" s="8">
        <f t="shared" si="29"/>
        <v>220036.21472952518</v>
      </c>
    </row>
    <row r="58" spans="1:12" x14ac:dyDescent="0.35">
      <c r="A58" s="8">
        <f>'Extension Data'!A26</f>
        <v>47</v>
      </c>
      <c r="B58" s="8">
        <f t="shared" si="20"/>
        <v>2209</v>
      </c>
      <c r="C58" s="8">
        <f t="shared" si="21"/>
        <v>103823</v>
      </c>
      <c r="D58" s="8">
        <f t="shared" si="22"/>
        <v>4879681</v>
      </c>
      <c r="E58" s="8">
        <f t="shared" si="23"/>
        <v>229345007</v>
      </c>
      <c r="F58" s="8">
        <f t="shared" si="24"/>
        <v>10779215329</v>
      </c>
      <c r="G58" s="8">
        <f t="shared" si="25"/>
        <v>506623120463</v>
      </c>
      <c r="H58" s="8">
        <f t="shared" si="26"/>
        <v>23811286661761</v>
      </c>
      <c r="I58" s="8">
        <f>'Extension Data'!B26</f>
        <v>116.44</v>
      </c>
      <c r="J58" s="8">
        <f t="shared" si="27"/>
        <v>-282073.69760459941</v>
      </c>
      <c r="K58" s="8">
        <f t="shared" si="28"/>
        <v>282190.13760459941</v>
      </c>
      <c r="L58" s="8">
        <f t="shared" si="29"/>
        <v>282190.13760459941</v>
      </c>
    </row>
    <row r="59" spans="1:12" x14ac:dyDescent="0.35">
      <c r="A59" s="8">
        <f>'Extension Data'!A27</f>
        <v>48</v>
      </c>
      <c r="B59" s="8">
        <f t="shared" si="20"/>
        <v>2304</v>
      </c>
      <c r="C59" s="8">
        <f t="shared" si="21"/>
        <v>110592</v>
      </c>
      <c r="D59" s="8">
        <f t="shared" si="22"/>
        <v>5308416</v>
      </c>
      <c r="E59" s="8">
        <f t="shared" si="23"/>
        <v>254803968</v>
      </c>
      <c r="F59" s="8">
        <f t="shared" si="24"/>
        <v>12230590464</v>
      </c>
      <c r="G59" s="8">
        <f t="shared" si="25"/>
        <v>587068342272</v>
      </c>
      <c r="H59" s="8">
        <f t="shared" si="26"/>
        <v>28179280429056</v>
      </c>
      <c r="I59" s="8">
        <f>'Extension Data'!B27</f>
        <v>114.86</v>
      </c>
      <c r="J59" s="8">
        <f t="shared" si="27"/>
        <v>-358954.94981017616</v>
      </c>
      <c r="K59" s="8">
        <f t="shared" si="28"/>
        <v>359069.80981017614</v>
      </c>
      <c r="L59" s="8">
        <f t="shared" si="29"/>
        <v>359069.80981017614</v>
      </c>
    </row>
    <row r="60" spans="1:12" x14ac:dyDescent="0.35">
      <c r="A60" s="8">
        <f>'Extension Data'!A28</f>
        <v>49</v>
      </c>
      <c r="B60" s="8">
        <f t="shared" si="20"/>
        <v>2401</v>
      </c>
      <c r="C60" s="8">
        <f t="shared" si="21"/>
        <v>117649</v>
      </c>
      <c r="D60" s="8">
        <f t="shared" si="22"/>
        <v>5764801</v>
      </c>
      <c r="E60" s="8">
        <f t="shared" si="23"/>
        <v>282475249</v>
      </c>
      <c r="F60" s="8">
        <f t="shared" si="24"/>
        <v>13841287201</v>
      </c>
      <c r="G60" s="8">
        <f t="shared" si="25"/>
        <v>678223072849</v>
      </c>
      <c r="H60" s="8">
        <f t="shared" si="26"/>
        <v>33232930569601</v>
      </c>
      <c r="I60" s="8">
        <f>'Extension Data'!B28</f>
        <v>113.48</v>
      </c>
      <c r="J60" s="8">
        <f t="shared" si="27"/>
        <v>-453443.06807764154</v>
      </c>
      <c r="K60" s="8">
        <f t="shared" si="28"/>
        <v>453556.54807764152</v>
      </c>
      <c r="L60" s="8">
        <f t="shared" si="29"/>
        <v>453556.54807764152</v>
      </c>
    </row>
    <row r="61" spans="1:12" x14ac:dyDescent="0.35">
      <c r="A61" s="8">
        <f>'Extension Data'!A29</f>
        <v>50</v>
      </c>
      <c r="B61" s="8">
        <f t="shared" si="20"/>
        <v>2500</v>
      </c>
      <c r="C61" s="8">
        <f t="shared" si="21"/>
        <v>125000</v>
      </c>
      <c r="D61" s="8">
        <f t="shared" si="22"/>
        <v>6250000</v>
      </c>
      <c r="E61" s="8">
        <f t="shared" si="23"/>
        <v>312500000</v>
      </c>
      <c r="F61" s="8">
        <f t="shared" si="24"/>
        <v>15625000000</v>
      </c>
      <c r="G61" s="8">
        <f t="shared" si="25"/>
        <v>781250000000</v>
      </c>
      <c r="H61" s="8">
        <f t="shared" si="26"/>
        <v>39062500000000</v>
      </c>
      <c r="I61" s="8">
        <f>'Extension Data'!B29</f>
        <v>116.02</v>
      </c>
      <c r="J61" s="8">
        <f t="shared" si="27"/>
        <v>-568863.77837003861</v>
      </c>
      <c r="K61" s="8">
        <f t="shared" si="28"/>
        <v>568979.79837003862</v>
      </c>
      <c r="L61" s="8">
        <f t="shared" si="29"/>
        <v>568979.79837003862</v>
      </c>
    </row>
    <row r="62" spans="1:12" x14ac:dyDescent="0.35">
      <c r="A62" s="8">
        <f>'Extension Data'!A30</f>
        <v>51</v>
      </c>
      <c r="B62" s="8">
        <f t="shared" si="20"/>
        <v>2601</v>
      </c>
      <c r="C62" s="8">
        <f t="shared" si="21"/>
        <v>132651</v>
      </c>
      <c r="D62" s="8">
        <f t="shared" si="22"/>
        <v>6765201</v>
      </c>
      <c r="E62" s="8">
        <f t="shared" si="23"/>
        <v>345025251</v>
      </c>
      <c r="F62" s="8">
        <f t="shared" si="24"/>
        <v>17596287801</v>
      </c>
      <c r="G62" s="8">
        <f t="shared" si="25"/>
        <v>897410677851</v>
      </c>
      <c r="H62" s="8">
        <f t="shared" si="26"/>
        <v>45767944570401</v>
      </c>
      <c r="I62" s="8">
        <f>'Extension Data'!B30</f>
        <v>112.52</v>
      </c>
      <c r="J62" s="8">
        <f t="shared" si="27"/>
        <v>-709047.31573904864</v>
      </c>
      <c r="K62" s="8">
        <f t="shared" si="28"/>
        <v>709159.83573904866</v>
      </c>
      <c r="L62" s="8">
        <f t="shared" si="29"/>
        <v>709159.83573904866</v>
      </c>
    </row>
    <row r="63" spans="1:12" x14ac:dyDescent="0.35">
      <c r="A63" s="8">
        <f>'Extension Data'!A31</f>
        <v>52</v>
      </c>
      <c r="B63" s="8">
        <f t="shared" si="20"/>
        <v>2704</v>
      </c>
      <c r="C63" s="8">
        <f t="shared" si="21"/>
        <v>140608</v>
      </c>
      <c r="D63" s="8">
        <f t="shared" si="22"/>
        <v>7311616</v>
      </c>
      <c r="E63" s="8">
        <f t="shared" si="23"/>
        <v>380204032</v>
      </c>
      <c r="F63" s="8">
        <f t="shared" si="24"/>
        <v>19770609664</v>
      </c>
      <c r="G63" s="8">
        <f t="shared" si="25"/>
        <v>1028071702528</v>
      </c>
      <c r="H63" s="8">
        <f t="shared" si="26"/>
        <v>53459728531456</v>
      </c>
      <c r="I63" s="8">
        <f>'Extension Data'!B31</f>
        <v>110.61</v>
      </c>
      <c r="J63" s="8">
        <f t="shared" si="27"/>
        <v>-878387.51226498187</v>
      </c>
      <c r="K63" s="8">
        <f t="shared" si="28"/>
        <v>878498.12226498185</v>
      </c>
      <c r="L63" s="8">
        <f t="shared" si="29"/>
        <v>878498.12226498185</v>
      </c>
    </row>
    <row r="64" spans="1:12" x14ac:dyDescent="0.35">
      <c r="A64" s="8">
        <f>'Extension Data'!A32</f>
        <v>53</v>
      </c>
      <c r="B64" s="8">
        <f t="shared" si="20"/>
        <v>2809</v>
      </c>
      <c r="C64" s="8">
        <f t="shared" si="21"/>
        <v>148877</v>
      </c>
      <c r="D64" s="8">
        <f t="shared" si="22"/>
        <v>7890481</v>
      </c>
      <c r="E64" s="8">
        <f t="shared" si="23"/>
        <v>418195493</v>
      </c>
      <c r="F64" s="8">
        <f t="shared" si="24"/>
        <v>22164361129</v>
      </c>
      <c r="G64" s="8">
        <f t="shared" si="25"/>
        <v>1174711139837</v>
      </c>
      <c r="H64" s="8">
        <f t="shared" si="26"/>
        <v>62259690411361</v>
      </c>
      <c r="I64" s="8">
        <f>'Extension Data'!B32</f>
        <v>114.93</v>
      </c>
      <c r="J64" s="8">
        <f t="shared" si="27"/>
        <v>-1081905.9003682043</v>
      </c>
      <c r="K64" s="8">
        <f t="shared" si="28"/>
        <v>1082020.8303682043</v>
      </c>
      <c r="L64" s="8">
        <f t="shared" si="29"/>
        <v>1082020.8303682043</v>
      </c>
    </row>
    <row r="65" spans="1:12" x14ac:dyDescent="0.35">
      <c r="A65" s="8">
        <f>'Extension Data'!A33</f>
        <v>54</v>
      </c>
      <c r="B65" s="8">
        <f t="shared" si="20"/>
        <v>2916</v>
      </c>
      <c r="C65" s="8">
        <f t="shared" si="21"/>
        <v>157464</v>
      </c>
      <c r="D65" s="8">
        <f t="shared" si="22"/>
        <v>8503056</v>
      </c>
      <c r="E65" s="8">
        <f t="shared" si="23"/>
        <v>459165024</v>
      </c>
      <c r="F65" s="8">
        <f t="shared" si="24"/>
        <v>24794911296</v>
      </c>
      <c r="G65" s="8">
        <f t="shared" si="25"/>
        <v>1338925209984</v>
      </c>
      <c r="H65" s="8">
        <f t="shared" si="26"/>
        <v>72301961339136</v>
      </c>
      <c r="I65" s="8">
        <f>'Extension Data'!B33</f>
        <v>115.14</v>
      </c>
      <c r="J65" s="8">
        <f t="shared" si="27"/>
        <v>-1325321.1060597971</v>
      </c>
      <c r="K65" s="8">
        <f t="shared" si="28"/>
        <v>1325436.246059797</v>
      </c>
      <c r="L65" s="8">
        <f t="shared" si="29"/>
        <v>1325436.246059797</v>
      </c>
    </row>
    <row r="66" spans="1:12" x14ac:dyDescent="0.35">
      <c r="A66" s="8">
        <f>'Extension Data'!A34</f>
        <v>55</v>
      </c>
      <c r="B66" s="8">
        <f t="shared" si="20"/>
        <v>3025</v>
      </c>
      <c r="C66" s="8">
        <f t="shared" si="21"/>
        <v>166375</v>
      </c>
      <c r="D66" s="8">
        <f t="shared" si="22"/>
        <v>9150625</v>
      </c>
      <c r="E66" s="8">
        <f t="shared" si="23"/>
        <v>503284375</v>
      </c>
      <c r="F66" s="8">
        <f t="shared" si="24"/>
        <v>27680640625</v>
      </c>
      <c r="G66" s="8">
        <f t="shared" si="25"/>
        <v>1522435234375</v>
      </c>
      <c r="H66" s="8">
        <f t="shared" si="26"/>
        <v>83733937890625</v>
      </c>
      <c r="I66" s="8">
        <f>'Extension Data'!B34</f>
        <v>113.17</v>
      </c>
      <c r="J66" s="8">
        <f t="shared" si="27"/>
        <v>-1615123.8139783647</v>
      </c>
      <c r="K66" s="8">
        <f t="shared" si="28"/>
        <v>1615236.9839783646</v>
      </c>
      <c r="L66" s="8">
        <f t="shared" si="29"/>
        <v>1615236.9839783646</v>
      </c>
    </row>
    <row r="67" spans="1:12" x14ac:dyDescent="0.35">
      <c r="A67" s="8">
        <f>'Extension Data'!A35</f>
        <v>56</v>
      </c>
      <c r="B67" s="8">
        <f t="shared" si="20"/>
        <v>3136</v>
      </c>
      <c r="C67" s="8">
        <f t="shared" si="21"/>
        <v>175616</v>
      </c>
      <c r="D67" s="8">
        <f t="shared" si="22"/>
        <v>9834496</v>
      </c>
      <c r="E67" s="8">
        <f t="shared" si="23"/>
        <v>550731776</v>
      </c>
      <c r="F67" s="8">
        <f t="shared" si="24"/>
        <v>30840979456</v>
      </c>
      <c r="G67" s="8">
        <f t="shared" si="25"/>
        <v>1727094849536</v>
      </c>
      <c r="H67" s="8">
        <f t="shared" si="26"/>
        <v>96717311574016</v>
      </c>
      <c r="I67" s="8">
        <f>'Extension Data'!B35</f>
        <v>111.92</v>
      </c>
      <c r="J67" s="8">
        <f t="shared" si="27"/>
        <v>-1958657.5933393389</v>
      </c>
      <c r="K67" s="8">
        <f t="shared" si="28"/>
        <v>1958769.5133393388</v>
      </c>
      <c r="L67" s="8">
        <f t="shared" si="29"/>
        <v>1958769.5133393388</v>
      </c>
    </row>
    <row r="68" spans="1:12" x14ac:dyDescent="0.35">
      <c r="A68" s="8">
        <f>'Extension Data'!A36</f>
        <v>57</v>
      </c>
      <c r="B68" s="8">
        <f t="shared" si="20"/>
        <v>3249</v>
      </c>
      <c r="C68" s="8">
        <f t="shared" si="21"/>
        <v>185193</v>
      </c>
      <c r="D68" s="8">
        <f t="shared" si="22"/>
        <v>10556001</v>
      </c>
      <c r="E68" s="8">
        <f t="shared" si="23"/>
        <v>601692057</v>
      </c>
      <c r="F68" s="8">
        <f t="shared" si="24"/>
        <v>34296447249</v>
      </c>
      <c r="G68" s="8">
        <f t="shared" si="25"/>
        <v>1954897493193</v>
      </c>
      <c r="H68" s="8">
        <f t="shared" si="26"/>
        <v>111429157112001</v>
      </c>
      <c r="I68" s="8">
        <f>'Extension Data'!B36</f>
        <v>115.37</v>
      </c>
      <c r="J68" s="8">
        <f t="shared" si="27"/>
        <v>-2364205.8812021539</v>
      </c>
      <c r="K68" s="8">
        <f t="shared" si="28"/>
        <v>2364321.251202154</v>
      </c>
      <c r="L68" s="8">
        <f t="shared" si="29"/>
        <v>2364321.251202154</v>
      </c>
    </row>
    <row r="69" spans="1:12" x14ac:dyDescent="0.35">
      <c r="A69" s="8">
        <f>'Extension Data'!A37</f>
        <v>58</v>
      </c>
      <c r="B69" s="8">
        <f t="shared" si="20"/>
        <v>3364</v>
      </c>
      <c r="C69" s="8">
        <f t="shared" si="21"/>
        <v>195112</v>
      </c>
      <c r="D69" s="8">
        <f t="shared" si="22"/>
        <v>11316496</v>
      </c>
      <c r="E69" s="8">
        <f t="shared" si="23"/>
        <v>656356768</v>
      </c>
      <c r="F69" s="8">
        <f t="shared" si="24"/>
        <v>38068692544</v>
      </c>
      <c r="G69" s="8">
        <f t="shared" si="25"/>
        <v>2207984167552</v>
      </c>
      <c r="H69" s="8">
        <f t="shared" si="26"/>
        <v>128063081718016</v>
      </c>
      <c r="I69" s="8">
        <f>'Extension Data'!B37</f>
        <v>108.04</v>
      </c>
      <c r="J69" s="8">
        <f t="shared" si="27"/>
        <v>-2841085.426740136</v>
      </c>
      <c r="K69" s="8">
        <f t="shared" si="28"/>
        <v>2841193.466740136</v>
      </c>
      <c r="L69" s="8">
        <f t="shared" si="29"/>
        <v>2841193.466740136</v>
      </c>
    </row>
    <row r="70" spans="1:12" x14ac:dyDescent="0.35">
      <c r="A70" s="8">
        <f>'Extension Data'!A38</f>
        <v>59</v>
      </c>
      <c r="B70" s="8">
        <f t="shared" si="20"/>
        <v>3481</v>
      </c>
      <c r="C70" s="8">
        <f t="shared" si="21"/>
        <v>205379</v>
      </c>
      <c r="D70" s="8">
        <f t="shared" si="22"/>
        <v>12117361</v>
      </c>
      <c r="E70" s="8">
        <f t="shared" si="23"/>
        <v>714924299</v>
      </c>
      <c r="F70" s="8">
        <f t="shared" si="24"/>
        <v>42180533641</v>
      </c>
      <c r="G70" s="8">
        <f t="shared" si="25"/>
        <v>2488651484819</v>
      </c>
      <c r="H70" s="8">
        <f t="shared" si="26"/>
        <v>146830437604321</v>
      </c>
      <c r="I70" s="8">
        <f>'Extension Data'!B38</f>
        <v>118.27</v>
      </c>
      <c r="J70" s="8">
        <f t="shared" si="27"/>
        <v>-3399746.5074769929</v>
      </c>
      <c r="K70" s="8">
        <f t="shared" si="28"/>
        <v>3399864.7774769929</v>
      </c>
      <c r="L70" s="8">
        <f t="shared" si="29"/>
        <v>3399864.7774769929</v>
      </c>
    </row>
    <row r="71" spans="1:12" x14ac:dyDescent="0.35">
      <c r="A71" s="8">
        <f>'Extension Data'!A39</f>
        <v>60</v>
      </c>
      <c r="B71" s="8">
        <f t="shared" si="20"/>
        <v>3600</v>
      </c>
      <c r="C71" s="8">
        <f t="shared" si="21"/>
        <v>216000</v>
      </c>
      <c r="D71" s="8">
        <f t="shared" si="22"/>
        <v>12960000</v>
      </c>
      <c r="E71" s="8">
        <f t="shared" si="23"/>
        <v>777600000</v>
      </c>
      <c r="F71" s="8">
        <f t="shared" si="24"/>
        <v>46656000000</v>
      </c>
      <c r="G71" s="8">
        <f t="shared" si="25"/>
        <v>2799360000000</v>
      </c>
      <c r="H71" s="8">
        <f t="shared" si="26"/>
        <v>167961600000000</v>
      </c>
      <c r="I71" s="8">
        <f>'Extension Data'!B39</f>
        <v>118.72</v>
      </c>
      <c r="J71" s="8">
        <f t="shared" si="27"/>
        <v>-4051880.235733293</v>
      </c>
      <c r="K71" s="8">
        <f t="shared" si="28"/>
        <v>4051998.9557332932</v>
      </c>
      <c r="L71" s="8">
        <f t="shared" si="29"/>
        <v>4051998.9557332932</v>
      </c>
    </row>
    <row r="73" spans="1:12" x14ac:dyDescent="0.35">
      <c r="A73" s="9" t="s">
        <v>20</v>
      </c>
      <c r="B73" s="11">
        <f>AVERAGE(L6:L23)</f>
        <v>0.70070792130011328</v>
      </c>
    </row>
    <row r="74" spans="1:12" x14ac:dyDescent="0.35">
      <c r="A74" s="9" t="s">
        <v>21</v>
      </c>
      <c r="B74" s="11">
        <f>AVERAGE(L27:L32)</f>
        <v>2.4526751581419011</v>
      </c>
    </row>
    <row r="75" spans="1:12" x14ac:dyDescent="0.35">
      <c r="A75" s="9" t="s">
        <v>22</v>
      </c>
      <c r="B75" s="11">
        <f>AVERAGE(L36:L71)</f>
        <v>632585.21362086944</v>
      </c>
    </row>
    <row r="76" spans="1:12" x14ac:dyDescent="0.35">
      <c r="A76" s="9" t="s">
        <v>23</v>
      </c>
      <c r="B76" s="11">
        <f>CORREL(K6:K22,K7:K23)</f>
        <v>-0.28356403246364498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6"/>
  <sheetViews>
    <sheetView topLeftCell="A25" zoomScaleNormal="100" workbookViewId="0">
      <selection activeCell="K23" sqref="K23"/>
    </sheetView>
  </sheetViews>
  <sheetFormatPr defaultColWidth="8.6328125" defaultRowHeight="14.5" x14ac:dyDescent="0.35"/>
  <cols>
    <col min="1" max="2" width="10" customWidth="1"/>
    <col min="3" max="3" width="11" customWidth="1"/>
    <col min="4" max="4" width="10" customWidth="1"/>
    <col min="5" max="5" width="11" customWidth="1"/>
    <col min="8" max="8" width="12" customWidth="1"/>
    <col min="9" max="9" width="14" customWidth="1"/>
  </cols>
  <sheetData>
    <row r="1" spans="1:9" ht="18" x14ac:dyDescent="0.4">
      <c r="A1" s="3" t="s">
        <v>37</v>
      </c>
      <c r="H1" s="9" t="s">
        <v>38</v>
      </c>
    </row>
    <row r="2" spans="1:9" x14ac:dyDescent="0.35">
      <c r="H2" s="10" t="s">
        <v>39</v>
      </c>
      <c r="I2" s="10" t="s">
        <v>40</v>
      </c>
    </row>
    <row r="3" spans="1:9" x14ac:dyDescent="0.35">
      <c r="H3" s="11">
        <f t="array" ref="H3:I3">LOGEST(B6:B23,A6:A23,TRUE(),FALSE())</f>
        <v>1.0643799079939043</v>
      </c>
      <c r="I3" s="11">
        <v>16.745606443747995</v>
      </c>
    </row>
    <row r="4" spans="1:9" x14ac:dyDescent="0.35">
      <c r="A4" s="9" t="s">
        <v>13</v>
      </c>
    </row>
    <row r="5" spans="1:9" x14ac:dyDescent="0.35">
      <c r="A5" s="5" t="s">
        <v>2</v>
      </c>
      <c r="B5" s="5" t="s">
        <v>3</v>
      </c>
      <c r="C5" s="5" t="s">
        <v>15</v>
      </c>
      <c r="D5" s="5" t="s">
        <v>16</v>
      </c>
      <c r="E5" s="5" t="s">
        <v>17</v>
      </c>
    </row>
    <row r="6" spans="1:9" x14ac:dyDescent="0.35">
      <c r="A6" s="6">
        <f>'Training Data'!A4</f>
        <v>1</v>
      </c>
      <c r="B6" s="6">
        <f>'Training Data'!B4</f>
        <v>22.27</v>
      </c>
      <c r="C6" s="6">
        <f t="shared" ref="C6:C23" si="0">$I$3*$H$3^A6</f>
        <v>17.82368704589862</v>
      </c>
      <c r="D6" s="6">
        <f t="shared" ref="D6:D23" si="1">B6-C6</f>
        <v>4.4463129541013799</v>
      </c>
      <c r="E6" s="6">
        <f t="shared" ref="E6:E23" si="2">ABS(D6)</f>
        <v>4.4463129541013799</v>
      </c>
    </row>
    <row r="7" spans="1:9" x14ac:dyDescent="0.35">
      <c r="A7" s="6">
        <f>'Training Data'!A5</f>
        <v>3</v>
      </c>
      <c r="B7" s="6">
        <f>'Training Data'!B5</f>
        <v>21.12</v>
      </c>
      <c r="C7" s="6">
        <f t="shared" si="0"/>
        <v>20.192536839019326</v>
      </c>
      <c r="D7" s="6">
        <f t="shared" si="1"/>
        <v>0.92746316098067538</v>
      </c>
      <c r="E7" s="6">
        <f t="shared" si="2"/>
        <v>0.92746316098067538</v>
      </c>
    </row>
    <row r="8" spans="1:9" x14ac:dyDescent="0.35">
      <c r="A8" s="6">
        <f>'Training Data'!A6</f>
        <v>4</v>
      </c>
      <c r="B8" s="6">
        <f>'Training Data'!B6</f>
        <v>20.58</v>
      </c>
      <c r="C8" s="6">
        <f t="shared" si="0"/>
        <v>21.49253050287891</v>
      </c>
      <c r="D8" s="6">
        <f t="shared" si="1"/>
        <v>-0.91253050287891213</v>
      </c>
      <c r="E8" s="6">
        <f t="shared" si="2"/>
        <v>0.91253050287891213</v>
      </c>
    </row>
    <row r="9" spans="1:9" x14ac:dyDescent="0.35">
      <c r="A9" s="6">
        <f>'Training Data'!A7</f>
        <v>5</v>
      </c>
      <c r="B9" s="6">
        <f>'Training Data'!B7</f>
        <v>21.7</v>
      </c>
      <c r="C9" s="6">
        <f t="shared" si="0"/>
        <v>22.876217639210438</v>
      </c>
      <c r="D9" s="6">
        <f t="shared" si="1"/>
        <v>-1.1762176392104386</v>
      </c>
      <c r="E9" s="6">
        <f t="shared" si="2"/>
        <v>1.1762176392104386</v>
      </c>
    </row>
    <row r="10" spans="1:9" x14ac:dyDescent="0.35">
      <c r="A10" s="6">
        <f>'Training Data'!A8</f>
        <v>7</v>
      </c>
      <c r="B10" s="6">
        <f>'Training Data'!B8</f>
        <v>22.11</v>
      </c>
      <c r="C10" s="6">
        <f t="shared" si="0"/>
        <v>25.916571931926629</v>
      </c>
      <c r="D10" s="6">
        <f t="shared" si="1"/>
        <v>-3.80657193192663</v>
      </c>
      <c r="E10" s="6">
        <f t="shared" si="2"/>
        <v>3.80657193192663</v>
      </c>
    </row>
    <row r="11" spans="1:9" x14ac:dyDescent="0.35">
      <c r="A11" s="6">
        <f>'Training Data'!A9</f>
        <v>8</v>
      </c>
      <c r="B11" s="6">
        <f>'Training Data'!B9</f>
        <v>26.28</v>
      </c>
      <c r="C11" s="6">
        <f t="shared" si="0"/>
        <v>27.585078448421463</v>
      </c>
      <c r="D11" s="6">
        <f t="shared" si="1"/>
        <v>-1.3050784484214617</v>
      </c>
      <c r="E11" s="6">
        <f t="shared" si="2"/>
        <v>1.3050784484214617</v>
      </c>
    </row>
    <row r="12" spans="1:9" x14ac:dyDescent="0.35">
      <c r="A12" s="6">
        <f>'Training Data'!A10</f>
        <v>9</v>
      </c>
      <c r="B12" s="6">
        <f>'Training Data'!B10</f>
        <v>27.21</v>
      </c>
      <c r="C12" s="6">
        <f t="shared" si="0"/>
        <v>29.361003260935465</v>
      </c>
      <c r="D12" s="6">
        <f t="shared" si="1"/>
        <v>-2.1510032609354646</v>
      </c>
      <c r="E12" s="6">
        <f t="shared" si="2"/>
        <v>2.1510032609354646</v>
      </c>
    </row>
    <row r="13" spans="1:9" x14ac:dyDescent="0.35">
      <c r="A13" s="6">
        <f>'Training Data'!A11</f>
        <v>11</v>
      </c>
      <c r="B13" s="6">
        <f>'Training Data'!B11</f>
        <v>33.18</v>
      </c>
      <c r="C13" s="6">
        <f t="shared" si="0"/>
        <v>33.263215318484342</v>
      </c>
      <c r="D13" s="6">
        <f t="shared" si="1"/>
        <v>-8.3215318484342049E-2</v>
      </c>
      <c r="E13" s="6">
        <f t="shared" si="2"/>
        <v>8.3215318484342049E-2</v>
      </c>
    </row>
    <row r="14" spans="1:9" x14ac:dyDescent="0.35">
      <c r="A14" s="6">
        <f>'Training Data'!A12</f>
        <v>12</v>
      </c>
      <c r="B14" s="6">
        <f>'Training Data'!B12</f>
        <v>34.74</v>
      </c>
      <c r="C14" s="6">
        <f t="shared" si="0"/>
        <v>35.404698060269787</v>
      </c>
      <c r="D14" s="6">
        <f t="shared" si="1"/>
        <v>-0.66469806026978517</v>
      </c>
      <c r="E14" s="6">
        <f t="shared" si="2"/>
        <v>0.66469806026978517</v>
      </c>
    </row>
    <row r="15" spans="1:9" x14ac:dyDescent="0.35">
      <c r="A15" s="6">
        <f>'Training Data'!A13</f>
        <v>13</v>
      </c>
      <c r="B15" s="6">
        <f>'Training Data'!B13</f>
        <v>37.47</v>
      </c>
      <c r="C15" s="6">
        <f t="shared" si="0"/>
        <v>37.684049263941922</v>
      </c>
      <c r="D15" s="6">
        <f t="shared" si="1"/>
        <v>-0.21404926394192358</v>
      </c>
      <c r="E15" s="6">
        <f t="shared" si="2"/>
        <v>0.21404926394192358</v>
      </c>
    </row>
    <row r="16" spans="1:9" x14ac:dyDescent="0.35">
      <c r="A16" s="6">
        <f>'Training Data'!A14</f>
        <v>15</v>
      </c>
      <c r="B16" s="6">
        <f>'Training Data'!B14</f>
        <v>41.88</v>
      </c>
      <c r="C16" s="6">
        <f t="shared" si="0"/>
        <v>42.692432325929111</v>
      </c>
      <c r="D16" s="6">
        <f t="shared" si="1"/>
        <v>-0.81243232592910886</v>
      </c>
      <c r="E16" s="6">
        <f t="shared" si="2"/>
        <v>0.81243232592910886</v>
      </c>
    </row>
    <row r="17" spans="1:5" x14ac:dyDescent="0.35">
      <c r="A17" s="6">
        <f>'Training Data'!A15</f>
        <v>16</v>
      </c>
      <c r="B17" s="6">
        <f>'Training Data'!B15</f>
        <v>46.01</v>
      </c>
      <c r="C17" s="6">
        <f t="shared" si="0"/>
        <v>45.440967191108406</v>
      </c>
      <c r="D17" s="6">
        <f t="shared" si="1"/>
        <v>0.56903280889159191</v>
      </c>
      <c r="E17" s="6">
        <f t="shared" si="2"/>
        <v>0.56903280889159191</v>
      </c>
    </row>
    <row r="18" spans="1:5" x14ac:dyDescent="0.35">
      <c r="A18" s="6">
        <f>'Training Data'!A16</f>
        <v>17</v>
      </c>
      <c r="B18" s="6">
        <f>'Training Data'!B16</f>
        <v>50.64</v>
      </c>
      <c r="C18" s="6">
        <f t="shared" si="0"/>
        <v>48.366452478025991</v>
      </c>
      <c r="D18" s="6">
        <f t="shared" si="1"/>
        <v>2.2735475219740096</v>
      </c>
      <c r="E18" s="6">
        <f t="shared" si="2"/>
        <v>2.2735475219740096</v>
      </c>
    </row>
    <row r="19" spans="1:5" x14ac:dyDescent="0.35">
      <c r="A19" s="6">
        <f>'Training Data'!A17</f>
        <v>19</v>
      </c>
      <c r="B19" s="6">
        <f>'Training Data'!B17</f>
        <v>58.03</v>
      </c>
      <c r="C19" s="6">
        <f t="shared" si="0"/>
        <v>54.794575943811282</v>
      </c>
      <c r="D19" s="6">
        <f t="shared" si="1"/>
        <v>3.2354240561887195</v>
      </c>
      <c r="E19" s="6">
        <f t="shared" si="2"/>
        <v>3.2354240561887195</v>
      </c>
    </row>
    <row r="20" spans="1:5" x14ac:dyDescent="0.35">
      <c r="A20" s="6">
        <f>'Training Data'!A18</f>
        <v>20</v>
      </c>
      <c r="B20" s="6">
        <f>'Training Data'!B18</f>
        <v>59.31</v>
      </c>
      <c r="C20" s="6">
        <f t="shared" si="0"/>
        <v>58.322245701638842</v>
      </c>
      <c r="D20" s="6">
        <f t="shared" si="1"/>
        <v>0.98775429836116047</v>
      </c>
      <c r="E20" s="6">
        <f t="shared" si="2"/>
        <v>0.98775429836116047</v>
      </c>
    </row>
    <row r="21" spans="1:5" x14ac:dyDescent="0.35">
      <c r="A21" s="6">
        <f>'Training Data'!A19</f>
        <v>21</v>
      </c>
      <c r="B21" s="6">
        <f>'Training Data'!B19</f>
        <v>63.08</v>
      </c>
      <c r="C21" s="6">
        <f t="shared" si="0"/>
        <v>62.077026513908237</v>
      </c>
      <c r="D21" s="6">
        <f t="shared" si="1"/>
        <v>1.0029734860917614</v>
      </c>
      <c r="E21" s="6">
        <f t="shared" si="2"/>
        <v>1.0029734860917614</v>
      </c>
    </row>
    <row r="22" spans="1:5" x14ac:dyDescent="0.35">
      <c r="A22" s="6">
        <f>'Training Data'!A20</f>
        <v>22</v>
      </c>
      <c r="B22" s="6">
        <f>'Training Data'!B20</f>
        <v>69.28</v>
      </c>
      <c r="C22" s="6">
        <f t="shared" si="0"/>
        <v>66.073539769408796</v>
      </c>
      <c r="D22" s="6">
        <f t="shared" si="1"/>
        <v>3.2064602305912047</v>
      </c>
      <c r="E22" s="6">
        <f t="shared" si="2"/>
        <v>3.2064602305912047</v>
      </c>
    </row>
    <row r="23" spans="1:5" x14ac:dyDescent="0.35">
      <c r="A23" s="6">
        <f>'Training Data'!A21</f>
        <v>24</v>
      </c>
      <c r="B23" s="6">
        <f>'Training Data'!B21</f>
        <v>72.09</v>
      </c>
      <c r="C23" s="6">
        <f t="shared" si="0"/>
        <v>74.855016385916869</v>
      </c>
      <c r="D23" s="6">
        <f t="shared" si="1"/>
        <v>-2.7650163859168657</v>
      </c>
      <c r="E23" s="6">
        <f t="shared" si="2"/>
        <v>2.7650163859168657</v>
      </c>
    </row>
    <row r="25" spans="1:5" x14ac:dyDescent="0.35">
      <c r="A25" s="9" t="s">
        <v>18</v>
      </c>
    </row>
    <row r="26" spans="1:5" x14ac:dyDescent="0.35">
      <c r="A26" s="5" t="s">
        <v>2</v>
      </c>
      <c r="B26" s="5" t="s">
        <v>3</v>
      </c>
      <c r="C26" s="5" t="s">
        <v>15</v>
      </c>
      <c r="D26" s="5" t="s">
        <v>16</v>
      </c>
      <c r="E26" s="5" t="s">
        <v>17</v>
      </c>
    </row>
    <row r="27" spans="1:5" x14ac:dyDescent="0.35">
      <c r="A27" s="7">
        <f>'Test Data'!A4</f>
        <v>2</v>
      </c>
      <c r="B27" s="7">
        <f>'Test Data'!B4</f>
        <v>16.84</v>
      </c>
      <c r="C27" s="7">
        <f t="shared" ref="C27:C32" si="3">$I$3*$H$3^A27</f>
        <v>18.971174378025715</v>
      </c>
      <c r="D27" s="7">
        <f t="shared" ref="D27:D32" si="4">B27-C27</f>
        <v>-2.1311743780257153</v>
      </c>
      <c r="E27" s="7">
        <f t="shared" ref="E27:E32" si="5">ABS(D27)</f>
        <v>2.1311743780257153</v>
      </c>
    </row>
    <row r="28" spans="1:5" x14ac:dyDescent="0.35">
      <c r="A28" s="7">
        <f>'Test Data'!A5</f>
        <v>6</v>
      </c>
      <c r="B28" s="7">
        <f>'Test Data'!B5</f>
        <v>23.23</v>
      </c>
      <c r="C28" s="7">
        <f t="shared" si="3"/>
        <v>24.348986426071331</v>
      </c>
      <c r="D28" s="7">
        <f t="shared" si="4"/>
        <v>-1.1189864260713307</v>
      </c>
      <c r="E28" s="7">
        <f t="shared" si="5"/>
        <v>1.1189864260713307</v>
      </c>
    </row>
    <row r="29" spans="1:5" x14ac:dyDescent="0.35">
      <c r="A29" s="7">
        <f>'Test Data'!A6</f>
        <v>10</v>
      </c>
      <c r="B29" s="7">
        <f>'Test Data'!B6</f>
        <v>35.549999999999997</v>
      </c>
      <c r="C29" s="7">
        <f t="shared" si="3"/>
        <v>31.251261949483212</v>
      </c>
      <c r="D29" s="7">
        <f t="shared" si="4"/>
        <v>4.2987380505167856</v>
      </c>
      <c r="E29" s="7">
        <f t="shared" si="5"/>
        <v>4.2987380505167856</v>
      </c>
    </row>
    <row r="30" spans="1:5" x14ac:dyDescent="0.35">
      <c r="A30" s="7">
        <f>'Test Data'!A7</f>
        <v>14</v>
      </c>
      <c r="B30" s="7">
        <f>'Test Data'!B7</f>
        <v>39.619999999999997</v>
      </c>
      <c r="C30" s="7">
        <f t="shared" si="3"/>
        <v>40.110144888392249</v>
      </c>
      <c r="D30" s="7">
        <f t="shared" si="4"/>
        <v>-0.49014488839225123</v>
      </c>
      <c r="E30" s="7">
        <f t="shared" si="5"/>
        <v>0.49014488839225123</v>
      </c>
    </row>
    <row r="31" spans="1:5" x14ac:dyDescent="0.35">
      <c r="A31" s="7">
        <f>'Test Data'!A8</f>
        <v>18</v>
      </c>
      <c r="B31" s="7">
        <f>'Test Data'!B8</f>
        <v>52.63</v>
      </c>
      <c r="C31" s="7">
        <f t="shared" si="3"/>
        <v>51.480280238552837</v>
      </c>
      <c r="D31" s="7">
        <f t="shared" si="4"/>
        <v>1.1497197614471659</v>
      </c>
      <c r="E31" s="7">
        <f t="shared" si="5"/>
        <v>1.1497197614471659</v>
      </c>
    </row>
    <row r="32" spans="1:5" x14ac:dyDescent="0.35">
      <c r="A32" s="7">
        <f>'Test Data'!A9</f>
        <v>23</v>
      </c>
      <c r="B32" s="7">
        <f>'Test Data'!B9</f>
        <v>70.78</v>
      </c>
      <c r="C32" s="7">
        <f t="shared" si="3"/>
        <v>70.32734818059491</v>
      </c>
      <c r="D32" s="7">
        <f t="shared" si="4"/>
        <v>0.45265181940509081</v>
      </c>
      <c r="E32" s="7">
        <f t="shared" si="5"/>
        <v>0.45265181940509081</v>
      </c>
    </row>
    <row r="34" spans="1:5" x14ac:dyDescent="0.35">
      <c r="A34" s="9" t="s">
        <v>19</v>
      </c>
    </row>
    <row r="35" spans="1:5" x14ac:dyDescent="0.35">
      <c r="A35" s="5" t="s">
        <v>2</v>
      </c>
      <c r="B35" s="5" t="s">
        <v>3</v>
      </c>
      <c r="C35" s="5" t="s">
        <v>15</v>
      </c>
      <c r="D35" s="5" t="s">
        <v>16</v>
      </c>
      <c r="E35" s="5" t="s">
        <v>17</v>
      </c>
    </row>
    <row r="36" spans="1:5" x14ac:dyDescent="0.35">
      <c r="A36" s="8">
        <f>'Extension Data'!A4</f>
        <v>25</v>
      </c>
      <c r="B36" s="8">
        <f>'Extension Data'!B4</f>
        <v>75.959999999999994</v>
      </c>
      <c r="C36" s="8">
        <f t="shared" ref="C36:C71" si="6">$I$3*$H$3^A36</f>
        <v>79.674175453724402</v>
      </c>
      <c r="D36" s="8">
        <f t="shared" ref="D36:D71" si="7">B36-C36</f>
        <v>-3.7141754537244083</v>
      </c>
      <c r="E36" s="8">
        <f t="shared" ref="E36:E71" si="8">ABS(D36)</f>
        <v>3.7141754537244083</v>
      </c>
    </row>
    <row r="37" spans="1:5" x14ac:dyDescent="0.35">
      <c r="A37" s="8">
        <f>'Extension Data'!A5</f>
        <v>26</v>
      </c>
      <c r="B37" s="8">
        <f>'Extension Data'!B5</f>
        <v>80.569999999999993</v>
      </c>
      <c r="C37" s="8">
        <f t="shared" si="6"/>
        <v>84.803591538925346</v>
      </c>
      <c r="D37" s="8">
        <f t="shared" si="7"/>
        <v>-4.2335915389253529</v>
      </c>
      <c r="E37" s="8">
        <f t="shared" si="8"/>
        <v>4.2335915389253529</v>
      </c>
    </row>
    <row r="38" spans="1:5" x14ac:dyDescent="0.35">
      <c r="A38" s="8">
        <f>'Extension Data'!A6</f>
        <v>27</v>
      </c>
      <c r="B38" s="8">
        <f>'Extension Data'!B6</f>
        <v>86.49</v>
      </c>
      <c r="C38" s="8">
        <f t="shared" si="6"/>
        <v>90.263238959753991</v>
      </c>
      <c r="D38" s="8">
        <f t="shared" si="7"/>
        <v>-3.7732389597539964</v>
      </c>
      <c r="E38" s="8">
        <f t="shared" si="8"/>
        <v>3.7732389597539964</v>
      </c>
    </row>
    <row r="39" spans="1:5" x14ac:dyDescent="0.35">
      <c r="A39" s="8">
        <f>'Extension Data'!A7</f>
        <v>28</v>
      </c>
      <c r="B39" s="8">
        <f>'Extension Data'!B7</f>
        <v>85.03</v>
      </c>
      <c r="C39" s="8">
        <f t="shared" si="6"/>
        <v>96.074377979214745</v>
      </c>
      <c r="D39" s="8">
        <f t="shared" si="7"/>
        <v>-11.044377979214744</v>
      </c>
      <c r="E39" s="8">
        <f t="shared" si="8"/>
        <v>11.044377979214744</v>
      </c>
    </row>
    <row r="40" spans="1:5" x14ac:dyDescent="0.35">
      <c r="A40" s="8">
        <f>'Extension Data'!A8</f>
        <v>29</v>
      </c>
      <c r="B40" s="8">
        <f>'Extension Data'!B8</f>
        <v>87.94</v>
      </c>
      <c r="C40" s="8">
        <f t="shared" si="6"/>
        <v>102.25963759408819</v>
      </c>
      <c r="D40" s="8">
        <f t="shared" si="7"/>
        <v>-14.319637594088192</v>
      </c>
      <c r="E40" s="8">
        <f t="shared" si="8"/>
        <v>14.319637594088192</v>
      </c>
    </row>
    <row r="41" spans="1:5" x14ac:dyDescent="0.35">
      <c r="A41" s="8">
        <f>'Extension Data'!A9</f>
        <v>30</v>
      </c>
      <c r="B41" s="8">
        <f>'Extension Data'!B9</f>
        <v>93.28</v>
      </c>
      <c r="C41" s="8">
        <f t="shared" si="6"/>
        <v>108.84310365388556</v>
      </c>
      <c r="D41" s="8">
        <f t="shared" si="7"/>
        <v>-15.563103653885562</v>
      </c>
      <c r="E41" s="8">
        <f t="shared" si="8"/>
        <v>15.563103653885562</v>
      </c>
    </row>
    <row r="42" spans="1:5" x14ac:dyDescent="0.35">
      <c r="A42" s="8">
        <f>'Extension Data'!A10</f>
        <v>31</v>
      </c>
      <c r="B42" s="8">
        <f>'Extension Data'!B10</f>
        <v>91.87</v>
      </c>
      <c r="C42" s="8">
        <f t="shared" si="6"/>
        <v>115.85041265289368</v>
      </c>
      <c r="D42" s="8">
        <f t="shared" si="7"/>
        <v>-23.980412652893676</v>
      </c>
      <c r="E42" s="8">
        <f t="shared" si="8"/>
        <v>23.980412652893676</v>
      </c>
    </row>
    <row r="43" spans="1:5" x14ac:dyDescent="0.35">
      <c r="A43" s="8">
        <f>'Extension Data'!A11</f>
        <v>32</v>
      </c>
      <c r="B43" s="8">
        <f>'Extension Data'!B11</f>
        <v>95.55</v>
      </c>
      <c r="C43" s="8">
        <f t="shared" si="6"/>
        <v>123.30885156054282</v>
      </c>
      <c r="D43" s="8">
        <f t="shared" si="7"/>
        <v>-27.758851560542823</v>
      </c>
      <c r="E43" s="8">
        <f t="shared" si="8"/>
        <v>27.758851560542823</v>
      </c>
    </row>
    <row r="44" spans="1:5" x14ac:dyDescent="0.35">
      <c r="A44" s="8">
        <f>'Extension Data'!A12</f>
        <v>33</v>
      </c>
      <c r="B44" s="8">
        <f>'Extension Data'!B12</f>
        <v>100.38</v>
      </c>
      <c r="C44" s="8">
        <f t="shared" si="6"/>
        <v>131.24746407884456</v>
      </c>
      <c r="D44" s="8">
        <f t="shared" si="7"/>
        <v>-30.867464078844563</v>
      </c>
      <c r="E44" s="8">
        <f t="shared" si="8"/>
        <v>30.867464078844563</v>
      </c>
    </row>
    <row r="45" spans="1:5" x14ac:dyDescent="0.35">
      <c r="A45" s="8">
        <f>'Extension Data'!A13</f>
        <v>34</v>
      </c>
      <c r="B45" s="8">
        <f>'Extension Data'!B13</f>
        <v>101.82</v>
      </c>
      <c r="C45" s="8">
        <f t="shared" si="6"/>
        <v>139.6971637406738</v>
      </c>
      <c r="D45" s="8">
        <f t="shared" si="7"/>
        <v>-37.877163740673808</v>
      </c>
      <c r="E45" s="8">
        <f t="shared" si="8"/>
        <v>37.877163740673808</v>
      </c>
    </row>
    <row r="46" spans="1:5" x14ac:dyDescent="0.35">
      <c r="A46" s="8">
        <f>'Extension Data'!A14</f>
        <v>35</v>
      </c>
      <c r="B46" s="8">
        <f>'Extension Data'!B14</f>
        <v>102.65</v>
      </c>
      <c r="C46" s="8">
        <f t="shared" si="6"/>
        <v>148.69085428930779</v>
      </c>
      <c r="D46" s="8">
        <f t="shared" si="7"/>
        <v>-46.040854289307788</v>
      </c>
      <c r="E46" s="8">
        <f t="shared" si="8"/>
        <v>46.040854289307788</v>
      </c>
    </row>
    <row r="47" spans="1:5" x14ac:dyDescent="0.35">
      <c r="A47" s="8">
        <f>'Extension Data'!A15</f>
        <v>36</v>
      </c>
      <c r="B47" s="8">
        <f>'Extension Data'!B15</f>
        <v>105.71</v>
      </c>
      <c r="C47" s="8">
        <f t="shared" si="6"/>
        <v>158.26355780798841</v>
      </c>
      <c r="D47" s="8">
        <f t="shared" si="7"/>
        <v>-52.553557807988412</v>
      </c>
      <c r="E47" s="8">
        <f t="shared" si="8"/>
        <v>52.553557807988412</v>
      </c>
    </row>
    <row r="48" spans="1:5" x14ac:dyDescent="0.35">
      <c r="A48" s="8">
        <f>'Extension Data'!A16</f>
        <v>37</v>
      </c>
      <c r="B48" s="8">
        <f>'Extension Data'!B16</f>
        <v>99.2</v>
      </c>
      <c r="C48" s="8">
        <f t="shared" si="6"/>
        <v>168.45255109845468</v>
      </c>
      <c r="D48" s="8">
        <f t="shared" si="7"/>
        <v>-69.252551098454674</v>
      </c>
      <c r="E48" s="8">
        <f t="shared" si="8"/>
        <v>69.252551098454674</v>
      </c>
    </row>
    <row r="49" spans="1:5" x14ac:dyDescent="0.35">
      <c r="A49" s="8">
        <f>'Extension Data'!A17</f>
        <v>38</v>
      </c>
      <c r="B49" s="8">
        <f>'Extension Data'!B17</f>
        <v>109.5</v>
      </c>
      <c r="C49" s="8">
        <f t="shared" si="6"/>
        <v>179.29751083951163</v>
      </c>
      <c r="D49" s="8">
        <f t="shared" si="7"/>
        <v>-69.797510839511631</v>
      </c>
      <c r="E49" s="8">
        <f t="shared" si="8"/>
        <v>69.797510839511631</v>
      </c>
    </row>
    <row r="50" spans="1:5" x14ac:dyDescent="0.35">
      <c r="A50" s="8">
        <f>'Extension Data'!A18</f>
        <v>39</v>
      </c>
      <c r="B50" s="8">
        <f>'Extension Data'!B18</f>
        <v>106.04</v>
      </c>
      <c r="C50" s="8">
        <f t="shared" si="6"/>
        <v>190.84066809089543</v>
      </c>
      <c r="D50" s="8">
        <f t="shared" si="7"/>
        <v>-84.800668090895428</v>
      </c>
      <c r="E50" s="8">
        <f t="shared" si="8"/>
        <v>84.800668090895428</v>
      </c>
    </row>
    <row r="51" spans="1:5" x14ac:dyDescent="0.35">
      <c r="A51" s="8">
        <f>'Extension Data'!A19</f>
        <v>40</v>
      </c>
      <c r="B51" s="8">
        <f>'Extension Data'!B19</f>
        <v>105.34</v>
      </c>
      <c r="C51" s="8">
        <f t="shared" si="6"/>
        <v>203.12697274408248</v>
      </c>
      <c r="D51" s="8">
        <f t="shared" si="7"/>
        <v>-97.786972744082476</v>
      </c>
      <c r="E51" s="8">
        <f t="shared" si="8"/>
        <v>97.786972744082476</v>
      </c>
    </row>
    <row r="52" spans="1:5" x14ac:dyDescent="0.35">
      <c r="A52" s="8">
        <f>'Extension Data'!A20</f>
        <v>41</v>
      </c>
      <c r="B52" s="8">
        <f>'Extension Data'!B20</f>
        <v>110.89</v>
      </c>
      <c r="C52" s="8">
        <f t="shared" si="6"/>
        <v>216.20426856042678</v>
      </c>
      <c r="D52" s="8">
        <f t="shared" si="7"/>
        <v>-105.31426856042678</v>
      </c>
      <c r="E52" s="8">
        <f t="shared" si="8"/>
        <v>105.31426856042678</v>
      </c>
    </row>
    <row r="53" spans="1:5" x14ac:dyDescent="0.35">
      <c r="A53" s="8">
        <f>'Extension Data'!A21</f>
        <v>42</v>
      </c>
      <c r="B53" s="8">
        <f>'Extension Data'!B21</f>
        <v>112.67</v>
      </c>
      <c r="C53" s="8">
        <f t="shared" si="6"/>
        <v>230.12347947823642</v>
      </c>
      <c r="D53" s="8">
        <f t="shared" si="7"/>
        <v>-117.45347947823642</v>
      </c>
      <c r="E53" s="8">
        <f t="shared" si="8"/>
        <v>117.45347947823642</v>
      </c>
    </row>
    <row r="54" spans="1:5" x14ac:dyDescent="0.35">
      <c r="A54" s="8">
        <f>'Extension Data'!A22</f>
        <v>43</v>
      </c>
      <c r="B54" s="8">
        <f>'Extension Data'!B22</f>
        <v>110.43</v>
      </c>
      <c r="C54" s="8">
        <f t="shared" si="6"/>
        <v>244.93880791428242</v>
      </c>
      <c r="D54" s="8">
        <f t="shared" si="7"/>
        <v>-134.50880791428241</v>
      </c>
      <c r="E54" s="8">
        <f t="shared" si="8"/>
        <v>134.50880791428241</v>
      </c>
    </row>
    <row r="55" spans="1:5" x14ac:dyDescent="0.35">
      <c r="A55" s="8">
        <f>'Extension Data'!A23</f>
        <v>44</v>
      </c>
      <c r="B55" s="8">
        <f>'Extension Data'!B23</f>
        <v>109.28</v>
      </c>
      <c r="C55" s="8">
        <f t="shared" si="6"/>
        <v>260.70794583194044</v>
      </c>
      <c r="D55" s="8">
        <f t="shared" si="7"/>
        <v>-151.42794583194043</v>
      </c>
      <c r="E55" s="8">
        <f t="shared" si="8"/>
        <v>151.42794583194043</v>
      </c>
    </row>
    <row r="56" spans="1:5" x14ac:dyDescent="0.35">
      <c r="A56" s="8">
        <f>'Extension Data'!A24</f>
        <v>45</v>
      </c>
      <c r="B56" s="8">
        <f>'Extension Data'!B24</f>
        <v>112.41</v>
      </c>
      <c r="C56" s="8">
        <f t="shared" si="6"/>
        <v>277.49229939788063</v>
      </c>
      <c r="D56" s="8">
        <f t="shared" si="7"/>
        <v>-165.08229939788063</v>
      </c>
      <c r="E56" s="8">
        <f t="shared" si="8"/>
        <v>165.08229939788063</v>
      </c>
    </row>
    <row r="57" spans="1:5" x14ac:dyDescent="0.35">
      <c r="A57" s="8">
        <f>'Extension Data'!A25</f>
        <v>46</v>
      </c>
      <c r="B57" s="8">
        <f>'Extension Data'!B25</f>
        <v>112.46</v>
      </c>
      <c r="C57" s="8">
        <f t="shared" si="6"/>
        <v>295.35722810213304</v>
      </c>
      <c r="D57" s="8">
        <f t="shared" si="7"/>
        <v>-182.89722810213306</v>
      </c>
      <c r="E57" s="8">
        <f t="shared" si="8"/>
        <v>182.89722810213306</v>
      </c>
    </row>
    <row r="58" spans="1:5" x14ac:dyDescent="0.35">
      <c r="A58" s="8">
        <f>'Extension Data'!A26</f>
        <v>47</v>
      </c>
      <c r="B58" s="8">
        <f>'Extension Data'!B26</f>
        <v>116.44</v>
      </c>
      <c r="C58" s="8">
        <f t="shared" si="6"/>
        <v>314.37229927268294</v>
      </c>
      <c r="D58" s="8">
        <f t="shared" si="7"/>
        <v>-197.93229927268294</v>
      </c>
      <c r="E58" s="8">
        <f t="shared" si="8"/>
        <v>197.93229927268294</v>
      </c>
    </row>
    <row r="59" spans="1:5" x14ac:dyDescent="0.35">
      <c r="A59" s="8">
        <f>'Extension Data'!A27</f>
        <v>48</v>
      </c>
      <c r="B59" s="8">
        <f>'Extension Data'!B27</f>
        <v>114.86</v>
      </c>
      <c r="C59" s="8">
        <f t="shared" si="6"/>
        <v>334.61155897569034</v>
      </c>
      <c r="D59" s="8">
        <f t="shared" si="7"/>
        <v>-219.75155897569033</v>
      </c>
      <c r="E59" s="8">
        <f t="shared" si="8"/>
        <v>219.75155897569033</v>
      </c>
    </row>
    <row r="60" spans="1:5" x14ac:dyDescent="0.35">
      <c r="A60" s="8">
        <f>'Extension Data'!A28</f>
        <v>49</v>
      </c>
      <c r="B60" s="8">
        <f>'Extension Data'!B28</f>
        <v>113.48</v>
      </c>
      <c r="C60" s="8">
        <f t="shared" si="6"/>
        <v>356.15382035624219</v>
      </c>
      <c r="D60" s="8">
        <f t="shared" si="7"/>
        <v>-242.67382035624217</v>
      </c>
      <c r="E60" s="8">
        <f t="shared" si="8"/>
        <v>242.67382035624217</v>
      </c>
    </row>
    <row r="61" spans="1:5" x14ac:dyDescent="0.35">
      <c r="A61" s="8">
        <f>'Extension Data'!A29</f>
        <v>50</v>
      </c>
      <c r="B61" s="8">
        <f>'Extension Data'!B29</f>
        <v>116.02</v>
      </c>
      <c r="C61" s="8">
        <f t="shared" si="6"/>
        <v>379.08297054245452</v>
      </c>
      <c r="D61" s="8">
        <f t="shared" si="7"/>
        <v>-263.06297054245454</v>
      </c>
      <c r="E61" s="8">
        <f t="shared" si="8"/>
        <v>263.06297054245454</v>
      </c>
    </row>
    <row r="62" spans="1:5" x14ac:dyDescent="0.35">
      <c r="A62" s="8">
        <f>'Extension Data'!A30</f>
        <v>51</v>
      </c>
      <c r="B62" s="8">
        <f>'Extension Data'!B30</f>
        <v>112.52</v>
      </c>
      <c r="C62" s="8">
        <f t="shared" si="6"/>
        <v>403.48829730803368</v>
      </c>
      <c r="D62" s="8">
        <f t="shared" si="7"/>
        <v>-290.9682973080337</v>
      </c>
      <c r="E62" s="8">
        <f t="shared" si="8"/>
        <v>290.9682973080337</v>
      </c>
    </row>
    <row r="63" spans="1:5" x14ac:dyDescent="0.35">
      <c r="A63" s="8">
        <f>'Extension Data'!A31</f>
        <v>52</v>
      </c>
      <c r="B63" s="8">
        <f>'Extension Data'!B31</f>
        <v>110.61</v>
      </c>
      <c r="C63" s="8">
        <f t="shared" si="6"/>
        <v>429.46483676534194</v>
      </c>
      <c r="D63" s="8">
        <f t="shared" si="7"/>
        <v>-318.85483676534193</v>
      </c>
      <c r="E63" s="8">
        <f t="shared" si="8"/>
        <v>318.85483676534193</v>
      </c>
    </row>
    <row r="64" spans="1:5" x14ac:dyDescent="0.35">
      <c r="A64" s="8">
        <f>'Extension Data'!A32</f>
        <v>53</v>
      </c>
      <c r="B64" s="8">
        <f>'Extension Data'!B32</f>
        <v>114.93</v>
      </c>
      <c r="C64" s="8">
        <f t="shared" si="6"/>
        <v>457.11374344291181</v>
      </c>
      <c r="D64" s="8">
        <f t="shared" si="7"/>
        <v>-342.1837434429118</v>
      </c>
      <c r="E64" s="8">
        <f t="shared" si="8"/>
        <v>342.1837434429118</v>
      </c>
    </row>
    <row r="65" spans="1:5" x14ac:dyDescent="0.35">
      <c r="A65" s="8">
        <f>'Extension Data'!A33</f>
        <v>54</v>
      </c>
      <c r="B65" s="8">
        <f>'Extension Data'!B33</f>
        <v>115.14</v>
      </c>
      <c r="C65" s="8">
        <f t="shared" si="6"/>
        <v>486.54268418851558</v>
      </c>
      <c r="D65" s="8">
        <f t="shared" si="7"/>
        <v>-371.40268418851559</v>
      </c>
      <c r="E65" s="8">
        <f t="shared" si="8"/>
        <v>371.40268418851559</v>
      </c>
    </row>
    <row r="66" spans="1:5" x14ac:dyDescent="0.35">
      <c r="A66" s="8">
        <f>'Extension Data'!A34</f>
        <v>55</v>
      </c>
      <c r="B66" s="8">
        <f>'Extension Data'!B34</f>
        <v>113.17</v>
      </c>
      <c r="C66" s="8">
        <f t="shared" si="6"/>
        <v>517.8662574316794</v>
      </c>
      <c r="D66" s="8">
        <f t="shared" si="7"/>
        <v>-404.69625743167938</v>
      </c>
      <c r="E66" s="8">
        <f t="shared" si="8"/>
        <v>404.69625743167938</v>
      </c>
    </row>
    <row r="67" spans="1:5" x14ac:dyDescent="0.35">
      <c r="A67" s="8">
        <f>'Extension Data'!A35</f>
        <v>56</v>
      </c>
      <c r="B67" s="8">
        <f>'Extension Data'!B35</f>
        <v>111.92</v>
      </c>
      <c r="C67" s="8">
        <f t="shared" si="6"/>
        <v>551.20643943827838</v>
      </c>
      <c r="D67" s="8">
        <f t="shared" si="7"/>
        <v>-439.28643943827836</v>
      </c>
      <c r="E67" s="8">
        <f t="shared" si="8"/>
        <v>439.28643943827836</v>
      </c>
    </row>
    <row r="68" spans="1:5" x14ac:dyDescent="0.35">
      <c r="A68" s="8">
        <f>'Extension Data'!A36</f>
        <v>57</v>
      </c>
      <c r="B68" s="8">
        <f>'Extension Data'!B36</f>
        <v>115.37</v>
      </c>
      <c r="C68" s="8">
        <f t="shared" si="6"/>
        <v>586.69305929496227</v>
      </c>
      <c r="D68" s="8">
        <f t="shared" si="7"/>
        <v>-471.32305929496226</v>
      </c>
      <c r="E68" s="8">
        <f t="shared" si="8"/>
        <v>471.32305929496226</v>
      </c>
    </row>
    <row r="69" spans="1:5" x14ac:dyDescent="0.35">
      <c r="A69" s="8">
        <f>'Extension Data'!A37</f>
        <v>58</v>
      </c>
      <c r="B69" s="8">
        <f>'Extension Data'!B37</f>
        <v>108.04</v>
      </c>
      <c r="C69" s="8">
        <f t="shared" si="6"/>
        <v>624.46430447303408</v>
      </c>
      <c r="D69" s="8">
        <f t="shared" si="7"/>
        <v>-516.42430447303411</v>
      </c>
      <c r="E69" s="8">
        <f t="shared" si="8"/>
        <v>516.42430447303411</v>
      </c>
    </row>
    <row r="70" spans="1:5" x14ac:dyDescent="0.35">
      <c r="A70" s="8">
        <f>'Extension Data'!A38</f>
        <v>59</v>
      </c>
      <c r="B70" s="8">
        <f>'Extension Data'!B38</f>
        <v>118.27</v>
      </c>
      <c r="C70" s="8">
        <f t="shared" si="6"/>
        <v>664.66725894048545</v>
      </c>
      <c r="D70" s="8">
        <f t="shared" si="7"/>
        <v>-546.39725894048547</v>
      </c>
      <c r="E70" s="8">
        <f t="shared" si="8"/>
        <v>546.39725894048547</v>
      </c>
    </row>
    <row r="71" spans="1:5" x14ac:dyDescent="0.35">
      <c r="A71" s="8">
        <f>'Extension Data'!A39</f>
        <v>60</v>
      </c>
      <c r="B71" s="8">
        <f>'Extension Data'!B39</f>
        <v>118.72</v>
      </c>
      <c r="C71" s="8">
        <f t="shared" si="6"/>
        <v>707.45847591763436</v>
      </c>
      <c r="D71" s="8">
        <f t="shared" si="7"/>
        <v>-588.73847591763433</v>
      </c>
      <c r="E71" s="8">
        <f t="shared" si="8"/>
        <v>588.73847591763433</v>
      </c>
    </row>
    <row r="73" spans="1:5" x14ac:dyDescent="0.35">
      <c r="A73" s="9" t="s">
        <v>20</v>
      </c>
      <c r="B73" s="11">
        <f>AVERAGE(E6:E23)</f>
        <v>1.6966545363941909</v>
      </c>
    </row>
    <row r="74" spans="1:5" x14ac:dyDescent="0.35">
      <c r="A74" s="9" t="s">
        <v>21</v>
      </c>
      <c r="B74" s="11">
        <f>AVERAGE(E27:E32)</f>
        <v>1.6069025539763899</v>
      </c>
    </row>
    <row r="75" spans="1:5" x14ac:dyDescent="0.35">
      <c r="A75" s="9" t="s">
        <v>22</v>
      </c>
      <c r="B75" s="11">
        <f>AVERAGE(E36:E71)</f>
        <v>185.10400465876762</v>
      </c>
    </row>
    <row r="76" spans="1:5" x14ac:dyDescent="0.35">
      <c r="A76" s="9" t="s">
        <v>23</v>
      </c>
      <c r="B76" s="11">
        <f>CORREL(D6:D22,D7:D23)</f>
        <v>0.37126093483884182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6"/>
  <sheetViews>
    <sheetView topLeftCell="A21" zoomScaleNormal="100" workbookViewId="0">
      <selection activeCell="F6" sqref="F6:F23"/>
    </sheetView>
  </sheetViews>
  <sheetFormatPr defaultColWidth="8.6328125" defaultRowHeight="14.5" x14ac:dyDescent="0.35"/>
  <cols>
    <col min="1" max="1" width="10" customWidth="1"/>
    <col min="2" max="3" width="12" customWidth="1"/>
    <col min="4" max="4" width="10" customWidth="1"/>
    <col min="5" max="5" width="11" customWidth="1"/>
    <col min="6" max="6" width="10" customWidth="1"/>
    <col min="7" max="11" width="11" customWidth="1"/>
  </cols>
  <sheetData>
    <row r="1" spans="1:11" ht="18" x14ac:dyDescent="0.4">
      <c r="A1" s="3" t="s">
        <v>41</v>
      </c>
      <c r="H1" s="9" t="s">
        <v>9</v>
      </c>
    </row>
    <row r="2" spans="1:11" ht="15.5" x14ac:dyDescent="0.35">
      <c r="A2" s="9" t="s">
        <v>42</v>
      </c>
      <c r="B2" s="12">
        <v>60</v>
      </c>
      <c r="C2" s="4" t="s">
        <v>43</v>
      </c>
      <c r="H2" s="10" t="s">
        <v>44</v>
      </c>
      <c r="I2" s="10" t="s">
        <v>45</v>
      </c>
      <c r="J2" s="10" t="s">
        <v>46</v>
      </c>
      <c r="K2" s="10" t="s">
        <v>12</v>
      </c>
    </row>
    <row r="3" spans="1:11" x14ac:dyDescent="0.35">
      <c r="H3" s="11">
        <f t="array" ref="H3:K3">LINEST(D6:D23,A6:C23,TRUE(),FALSE())</f>
        <v>-32.17122078793421</v>
      </c>
      <c r="I3" s="11">
        <v>-10.137637403304803</v>
      </c>
      <c r="J3" s="11">
        <v>-9.3775671204590308E-2</v>
      </c>
      <c r="K3" s="11">
        <v>55.059776898911814</v>
      </c>
    </row>
    <row r="4" spans="1:11" x14ac:dyDescent="0.35">
      <c r="A4" s="9" t="s">
        <v>13</v>
      </c>
    </row>
    <row r="5" spans="1:11" x14ac:dyDescent="0.35">
      <c r="A5" s="5" t="s">
        <v>2</v>
      </c>
      <c r="B5" s="5" t="s">
        <v>47</v>
      </c>
      <c r="C5" s="5" t="s">
        <v>48</v>
      </c>
      <c r="D5" s="5" t="s">
        <v>3</v>
      </c>
      <c r="E5" s="5" t="s">
        <v>15</v>
      </c>
      <c r="F5" s="5" t="s">
        <v>16</v>
      </c>
      <c r="G5" s="5" t="s">
        <v>17</v>
      </c>
    </row>
    <row r="6" spans="1:11" x14ac:dyDescent="0.35">
      <c r="A6" s="6">
        <f>'Training Data'!A4</f>
        <v>1</v>
      </c>
      <c r="B6" s="6">
        <f t="shared" ref="B6:B23" si="0">SIN(2*PI()*A6/$B$2)</f>
        <v>0.10452846326765346</v>
      </c>
      <c r="C6" s="6">
        <f t="shared" ref="C6:C23" si="1">COS(2*PI()*A6/$B$2)</f>
        <v>0.99452189536827329</v>
      </c>
      <c r="D6" s="6">
        <f>'Training Data'!B4</f>
        <v>22.27</v>
      </c>
      <c r="E6" s="6">
        <f t="shared" ref="E6:E23" si="2">$K$3+$J$3*A6+$I$3*B6+$H$3*C6</f>
        <v>21.911346094447559</v>
      </c>
      <c r="F6" s="6">
        <f t="shared" ref="F6:F23" si="3">D6-E6</f>
        <v>0.35865390555244048</v>
      </c>
      <c r="G6" s="6">
        <f t="shared" ref="G6:G23" si="4">ABS(F6)</f>
        <v>0.35865390555244048</v>
      </c>
    </row>
    <row r="7" spans="1:11" x14ac:dyDescent="0.35">
      <c r="A7" s="6">
        <f>'Training Data'!A5</f>
        <v>3</v>
      </c>
      <c r="B7" s="6">
        <f t="shared" si="0"/>
        <v>0.3090169943749474</v>
      </c>
      <c r="C7" s="6">
        <f t="shared" si="1"/>
        <v>0.95105651629515353</v>
      </c>
      <c r="D7" s="6">
        <f>'Training Data'!B5</f>
        <v>21.12</v>
      </c>
      <c r="E7" s="6">
        <f t="shared" si="2"/>
        <v>21.049098477330816</v>
      </c>
      <c r="F7" s="6">
        <f t="shared" si="3"/>
        <v>7.0901522669185368E-2</v>
      </c>
      <c r="G7" s="6">
        <f t="shared" si="4"/>
        <v>7.0901522669185368E-2</v>
      </c>
    </row>
    <row r="8" spans="1:11" x14ac:dyDescent="0.35">
      <c r="A8" s="6">
        <f>'Training Data'!A6</f>
        <v>4</v>
      </c>
      <c r="B8" s="6">
        <f t="shared" si="0"/>
        <v>0.40673664307580015</v>
      </c>
      <c r="C8" s="6">
        <f t="shared" si="1"/>
        <v>0.91354545764260087</v>
      </c>
      <c r="D8" s="6">
        <f>'Training Data'!B6</f>
        <v>20.58</v>
      </c>
      <c r="E8" s="6">
        <f t="shared" si="2"/>
        <v>21.171452990319079</v>
      </c>
      <c r="F8" s="6">
        <f t="shared" si="3"/>
        <v>-0.59145299031908039</v>
      </c>
      <c r="G8" s="6">
        <f t="shared" si="4"/>
        <v>0.59145299031908039</v>
      </c>
    </row>
    <row r="9" spans="1:11" x14ac:dyDescent="0.35">
      <c r="A9" s="6">
        <f>'Training Data'!A7</f>
        <v>5</v>
      </c>
      <c r="B9" s="6">
        <f t="shared" si="0"/>
        <v>0.49999999999999994</v>
      </c>
      <c r="C9" s="6">
        <f t="shared" si="1"/>
        <v>0.86602540378443871</v>
      </c>
      <c r="D9" s="6">
        <f>'Training Data'!B7</f>
        <v>21.7</v>
      </c>
      <c r="E9" s="6">
        <f t="shared" si="2"/>
        <v>21.66098536812741</v>
      </c>
      <c r="F9" s="6">
        <f t="shared" si="3"/>
        <v>3.9014631872589689E-2</v>
      </c>
      <c r="G9" s="6">
        <f t="shared" si="4"/>
        <v>3.9014631872589689E-2</v>
      </c>
    </row>
    <row r="10" spans="1:11" x14ac:dyDescent="0.35">
      <c r="A10" s="6">
        <f>'Training Data'!A8</f>
        <v>7</v>
      </c>
      <c r="B10" s="6">
        <f t="shared" si="0"/>
        <v>0.66913060635885824</v>
      </c>
      <c r="C10" s="6">
        <f t="shared" si="1"/>
        <v>0.74314482547739424</v>
      </c>
      <c r="D10" s="6">
        <f>'Training Data'!B8</f>
        <v>22.11</v>
      </c>
      <c r="E10" s="6">
        <f t="shared" si="2"/>
        <v>23.712067479916008</v>
      </c>
      <c r="F10" s="6">
        <f t="shared" si="3"/>
        <v>-1.6020674799160091</v>
      </c>
      <c r="G10" s="6">
        <f t="shared" si="4"/>
        <v>1.6020674799160091</v>
      </c>
    </row>
    <row r="11" spans="1:11" x14ac:dyDescent="0.35">
      <c r="A11" s="6">
        <f>'Training Data'!A9</f>
        <v>8</v>
      </c>
      <c r="B11" s="6">
        <f t="shared" si="0"/>
        <v>0.74314482547739413</v>
      </c>
      <c r="C11" s="6">
        <f t="shared" si="1"/>
        <v>0.66913060635885824</v>
      </c>
      <c r="D11" s="6">
        <f>'Training Data'!B9</f>
        <v>26.28</v>
      </c>
      <c r="E11" s="6">
        <f t="shared" si="2"/>
        <v>25.249090277307914</v>
      </c>
      <c r="F11" s="6">
        <f t="shared" si="3"/>
        <v>1.0309097226920869</v>
      </c>
      <c r="G11" s="6">
        <f t="shared" si="4"/>
        <v>1.0309097226920869</v>
      </c>
    </row>
    <row r="12" spans="1:11" x14ac:dyDescent="0.35">
      <c r="A12" s="6">
        <f>'Training Data'!A10</f>
        <v>9</v>
      </c>
      <c r="B12" s="6">
        <f t="shared" si="0"/>
        <v>0.80901699437494745</v>
      </c>
      <c r="C12" s="6">
        <f t="shared" si="1"/>
        <v>0.58778525229247314</v>
      </c>
      <c r="D12" s="6">
        <f>'Training Data'!B10</f>
        <v>27.21</v>
      </c>
      <c r="E12" s="6">
        <f t="shared" si="2"/>
        <v>27.104505788593034</v>
      </c>
      <c r="F12" s="6">
        <f t="shared" si="3"/>
        <v>0.1054942114069668</v>
      </c>
      <c r="G12" s="6">
        <f t="shared" si="4"/>
        <v>0.1054942114069668</v>
      </c>
    </row>
    <row r="13" spans="1:11" x14ac:dyDescent="0.35">
      <c r="A13" s="6">
        <f>'Training Data'!A11</f>
        <v>11</v>
      </c>
      <c r="B13" s="6">
        <f t="shared" si="0"/>
        <v>0.91354545764260087</v>
      </c>
      <c r="C13" s="6">
        <f t="shared" si="1"/>
        <v>0.40673664307580037</v>
      </c>
      <c r="D13" s="6">
        <f>'Training Data'!B11</f>
        <v>33.18</v>
      </c>
      <c r="E13" s="6">
        <f t="shared" si="2"/>
        <v>31.681837567709717</v>
      </c>
      <c r="F13" s="6">
        <f t="shared" si="3"/>
        <v>1.4981624322902825</v>
      </c>
      <c r="G13" s="6">
        <f t="shared" si="4"/>
        <v>1.4981624322902825</v>
      </c>
    </row>
    <row r="14" spans="1:11" x14ac:dyDescent="0.35">
      <c r="A14" s="6">
        <f>'Training Data'!A12</f>
        <v>12</v>
      </c>
      <c r="B14" s="6">
        <f t="shared" si="0"/>
        <v>0.95105651629515353</v>
      </c>
      <c r="C14" s="6">
        <f t="shared" si="1"/>
        <v>0.30901699437494745</v>
      </c>
      <c r="D14" s="6">
        <f>'Training Data'!B12</f>
        <v>34.74</v>
      </c>
      <c r="E14" s="6">
        <f t="shared" si="2"/>
        <v>34.351548778945961</v>
      </c>
      <c r="F14" s="6">
        <f t="shared" si="3"/>
        <v>0.38845122105404073</v>
      </c>
      <c r="G14" s="6">
        <f t="shared" si="4"/>
        <v>0.38845122105404073</v>
      </c>
    </row>
    <row r="15" spans="1:11" x14ac:dyDescent="0.35">
      <c r="A15" s="6">
        <f>'Training Data'!A13</f>
        <v>13</v>
      </c>
      <c r="B15" s="6">
        <f t="shared" si="0"/>
        <v>0.97814760073380569</v>
      </c>
      <c r="C15" s="6">
        <f t="shared" si="1"/>
        <v>0.20791169081775923</v>
      </c>
      <c r="D15" s="6">
        <f>'Training Data'!B13</f>
        <v>37.47</v>
      </c>
      <c r="E15" s="6">
        <f t="shared" si="2"/>
        <v>37.235814560409416</v>
      </c>
      <c r="F15" s="6">
        <f t="shared" si="3"/>
        <v>0.23418543959058269</v>
      </c>
      <c r="G15" s="6">
        <f t="shared" si="4"/>
        <v>0.23418543959058269</v>
      </c>
    </row>
    <row r="16" spans="1:11" x14ac:dyDescent="0.35">
      <c r="A16" s="6">
        <f>'Training Data'!A14</f>
        <v>15</v>
      </c>
      <c r="B16" s="6">
        <f t="shared" si="0"/>
        <v>1</v>
      </c>
      <c r="C16" s="6">
        <f t="shared" si="1"/>
        <v>2.8330202767046231E-16</v>
      </c>
      <c r="D16" s="6">
        <f>'Training Data'!B14</f>
        <v>41.88</v>
      </c>
      <c r="E16" s="6">
        <f t="shared" si="2"/>
        <v>43.515504427538154</v>
      </c>
      <c r="F16" s="6">
        <f t="shared" si="3"/>
        <v>-1.6355044275381516</v>
      </c>
      <c r="G16" s="6">
        <f t="shared" si="4"/>
        <v>1.6355044275381516</v>
      </c>
    </row>
    <row r="17" spans="1:7" x14ac:dyDescent="0.35">
      <c r="A17" s="6">
        <f>'Training Data'!A15</f>
        <v>16</v>
      </c>
      <c r="B17" s="6">
        <f t="shared" si="0"/>
        <v>0.9945218953682734</v>
      </c>
      <c r="C17" s="6">
        <f t="shared" si="1"/>
        <v>-0.10452846326765333</v>
      </c>
      <c r="D17" s="6">
        <f>'Training Data'!B15</f>
        <v>46.01</v>
      </c>
      <c r="E17" s="6">
        <f t="shared" si="2"/>
        <v>46.840072065154516</v>
      </c>
      <c r="F17" s="6">
        <f t="shared" si="3"/>
        <v>-0.8300720651545177</v>
      </c>
      <c r="G17" s="6">
        <f t="shared" si="4"/>
        <v>0.8300720651545177</v>
      </c>
    </row>
    <row r="18" spans="1:7" x14ac:dyDescent="0.35">
      <c r="A18" s="6">
        <f>'Training Data'!A16</f>
        <v>17</v>
      </c>
      <c r="B18" s="6">
        <f t="shared" si="0"/>
        <v>0.97814760073380569</v>
      </c>
      <c r="C18" s="6">
        <f t="shared" si="1"/>
        <v>-0.20791169081775934</v>
      </c>
      <c r="D18" s="6">
        <f>'Training Data'!B16</f>
        <v>50.64</v>
      </c>
      <c r="E18" s="6">
        <f t="shared" si="2"/>
        <v>50.238257694972738</v>
      </c>
      <c r="F18" s="6">
        <f t="shared" si="3"/>
        <v>0.4017423050272626</v>
      </c>
      <c r="G18" s="6">
        <f t="shared" si="4"/>
        <v>0.4017423050272626</v>
      </c>
    </row>
    <row r="19" spans="1:7" x14ac:dyDescent="0.35">
      <c r="A19" s="6">
        <f>'Training Data'!A17</f>
        <v>19</v>
      </c>
      <c r="B19" s="6">
        <f t="shared" si="0"/>
        <v>0.91354545764260098</v>
      </c>
      <c r="C19" s="6">
        <f t="shared" si="1"/>
        <v>-0.40673664307580004</v>
      </c>
      <c r="D19" s="6">
        <f>'Training Data'!B17</f>
        <v>58.03</v>
      </c>
      <c r="E19" s="6">
        <f t="shared" si="2"/>
        <v>57.102060891942514</v>
      </c>
      <c r="F19" s="6">
        <f t="shared" si="3"/>
        <v>0.92793910805748681</v>
      </c>
      <c r="G19" s="6">
        <f t="shared" si="4"/>
        <v>0.92793910805748681</v>
      </c>
    </row>
    <row r="20" spans="1:7" x14ac:dyDescent="0.35">
      <c r="A20" s="6">
        <f>'Training Data'!A18</f>
        <v>20</v>
      </c>
      <c r="B20" s="6">
        <f t="shared" si="0"/>
        <v>0.86602540378443871</v>
      </c>
      <c r="C20" s="6">
        <f t="shared" si="1"/>
        <v>-0.49999999999999978</v>
      </c>
      <c r="D20" s="6">
        <f>'Training Data'!B18</f>
        <v>59.31</v>
      </c>
      <c r="E20" s="6">
        <f t="shared" si="2"/>
        <v>60.49042234316984</v>
      </c>
      <c r="F20" s="6">
        <f t="shared" si="3"/>
        <v>-1.1804223431698375</v>
      </c>
      <c r="G20" s="6">
        <f t="shared" si="4"/>
        <v>1.1804223431698375</v>
      </c>
    </row>
    <row r="21" spans="1:7" x14ac:dyDescent="0.35">
      <c r="A21" s="6">
        <f>'Training Data'!A19</f>
        <v>21</v>
      </c>
      <c r="B21" s="6">
        <f t="shared" si="0"/>
        <v>0.80901699437494745</v>
      </c>
      <c r="C21" s="6">
        <f t="shared" si="1"/>
        <v>-0.58778525229247303</v>
      </c>
      <c r="D21" s="6">
        <f>'Training Data'!B19</f>
        <v>63.08</v>
      </c>
      <c r="E21" s="6">
        <f t="shared" si="2"/>
        <v>63.798735988923482</v>
      </c>
      <c r="F21" s="6">
        <f t="shared" si="3"/>
        <v>-0.71873598892348411</v>
      </c>
      <c r="G21" s="6">
        <f t="shared" si="4"/>
        <v>0.71873598892348411</v>
      </c>
    </row>
    <row r="22" spans="1:7" x14ac:dyDescent="0.35">
      <c r="A22" s="6">
        <f>'Training Data'!A20</f>
        <v>22</v>
      </c>
      <c r="B22" s="6">
        <f t="shared" si="0"/>
        <v>0.74314482547739447</v>
      </c>
      <c r="C22" s="6">
        <f t="shared" si="1"/>
        <v>-0.6691306063588579</v>
      </c>
      <c r="D22" s="6">
        <f>'Training Data'!B20</f>
        <v>69.28</v>
      </c>
      <c r="E22" s="6">
        <f t="shared" si="2"/>
        <v>66.989727826713889</v>
      </c>
      <c r="F22" s="6">
        <f t="shared" si="3"/>
        <v>2.2902721732861124</v>
      </c>
      <c r="G22" s="6">
        <f t="shared" si="4"/>
        <v>2.2902721732861124</v>
      </c>
    </row>
    <row r="23" spans="1:7" x14ac:dyDescent="0.35">
      <c r="A23" s="6">
        <f>'Training Data'!A21</f>
        <v>24</v>
      </c>
      <c r="B23" s="6">
        <f t="shared" si="0"/>
        <v>0.58778525229247325</v>
      </c>
      <c r="C23" s="6">
        <f t="shared" si="1"/>
        <v>-0.80901699437494734</v>
      </c>
      <c r="D23" s="6">
        <f>'Training Data'!B21</f>
        <v>72.09</v>
      </c>
      <c r="E23" s="6">
        <f t="shared" si="2"/>
        <v>72.877471378477878</v>
      </c>
      <c r="F23" s="6">
        <f t="shared" si="3"/>
        <v>-0.78747137847787485</v>
      </c>
      <c r="G23" s="6">
        <f t="shared" si="4"/>
        <v>0.78747137847787485</v>
      </c>
    </row>
    <row r="25" spans="1:7" x14ac:dyDescent="0.35">
      <c r="A25" s="9" t="s">
        <v>18</v>
      </c>
    </row>
    <row r="26" spans="1:7" x14ac:dyDescent="0.35">
      <c r="A26" s="5" t="s">
        <v>2</v>
      </c>
      <c r="B26" s="5" t="s">
        <v>47</v>
      </c>
      <c r="C26" s="5" t="s">
        <v>48</v>
      </c>
      <c r="D26" s="5" t="s">
        <v>3</v>
      </c>
      <c r="E26" s="5" t="s">
        <v>15</v>
      </c>
      <c r="F26" s="5" t="s">
        <v>16</v>
      </c>
      <c r="G26" s="5" t="s">
        <v>17</v>
      </c>
    </row>
    <row r="27" spans="1:7" x14ac:dyDescent="0.35">
      <c r="A27" s="7">
        <f>'Test Data'!A4</f>
        <v>2</v>
      </c>
      <c r="B27" s="7">
        <f t="shared" ref="B27:B32" si="5">SIN(2*PI()*A27/$B$2)</f>
        <v>0.20791169081775931</v>
      </c>
      <c r="C27" s="7">
        <f t="shared" ref="C27:C32" si="6">COS(2*PI()*A27/$B$2)</f>
        <v>0.97814760073380569</v>
      </c>
      <c r="D27" s="7">
        <f>'Test Data'!B4</f>
        <v>16.84</v>
      </c>
      <c r="E27" s="7">
        <f t="shared" ref="E27:E32" si="7">$K$3+$J$3*A27+$I$3*B27+$H$3*C27</f>
        <v>21.296289796688793</v>
      </c>
      <c r="F27" s="7">
        <f t="shared" ref="F27:F32" si="8">D27-E27</f>
        <v>-4.4562897966887931</v>
      </c>
      <c r="G27" s="7">
        <f t="shared" ref="G27:G32" si="9">ABS(F27)</f>
        <v>4.4562897966887931</v>
      </c>
    </row>
    <row r="28" spans="1:7" x14ac:dyDescent="0.35">
      <c r="A28" s="7">
        <f>'Test Data'!A5</f>
        <v>6</v>
      </c>
      <c r="B28" s="7">
        <f t="shared" si="5"/>
        <v>0.58778525229247314</v>
      </c>
      <c r="C28" s="7">
        <f t="shared" si="6"/>
        <v>0.80901699437494745</v>
      </c>
      <c r="D28" s="7">
        <f>'Test Data'!B5</f>
        <v>23.23</v>
      </c>
      <c r="E28" s="7">
        <f t="shared" si="7"/>
        <v>22.511304765705777</v>
      </c>
      <c r="F28" s="7">
        <f t="shared" si="8"/>
        <v>0.71869523429422344</v>
      </c>
      <c r="G28" s="7">
        <f t="shared" si="9"/>
        <v>0.71869523429422344</v>
      </c>
    </row>
    <row r="29" spans="1:7" x14ac:dyDescent="0.35">
      <c r="A29" s="7">
        <f>'Test Data'!A6</f>
        <v>10</v>
      </c>
      <c r="B29" s="7">
        <f t="shared" si="5"/>
        <v>0.8660254037844386</v>
      </c>
      <c r="C29" s="7">
        <f t="shared" si="6"/>
        <v>0.50000000000000011</v>
      </c>
      <c r="D29" s="7">
        <f>'Test Data'!B6</f>
        <v>35.549999999999997</v>
      </c>
      <c r="E29" s="7">
        <f t="shared" si="7"/>
        <v>29.256958267281533</v>
      </c>
      <c r="F29" s="7">
        <f t="shared" si="8"/>
        <v>6.2930417327184642</v>
      </c>
      <c r="G29" s="7">
        <f t="shared" si="9"/>
        <v>6.2930417327184642</v>
      </c>
    </row>
    <row r="30" spans="1:7" x14ac:dyDescent="0.35">
      <c r="A30" s="7">
        <f>'Test Data'!A7</f>
        <v>14</v>
      </c>
      <c r="B30" s="7">
        <f t="shared" si="5"/>
        <v>0.99452189536827329</v>
      </c>
      <c r="C30" s="7">
        <f t="shared" si="6"/>
        <v>0.10452846326765346</v>
      </c>
      <c r="D30" s="7">
        <f>'Test Data'!B7</f>
        <v>39.619999999999997</v>
      </c>
      <c r="E30" s="7">
        <f t="shared" si="7"/>
        <v>40.302006866749409</v>
      </c>
      <c r="F30" s="7">
        <f t="shared" si="8"/>
        <v>-0.68200686674941124</v>
      </c>
      <c r="G30" s="7">
        <f t="shared" si="9"/>
        <v>0.68200686674941124</v>
      </c>
    </row>
    <row r="31" spans="1:7" x14ac:dyDescent="0.35">
      <c r="A31" s="7">
        <f>'Test Data'!A8</f>
        <v>18</v>
      </c>
      <c r="B31" s="7">
        <f t="shared" si="5"/>
        <v>0.95105651629515364</v>
      </c>
      <c r="C31" s="7">
        <f t="shared" si="6"/>
        <v>-0.30901699437494734</v>
      </c>
      <c r="D31" s="7">
        <f>'Test Data'!B8</f>
        <v>52.63</v>
      </c>
      <c r="E31" s="7">
        <f t="shared" si="7"/>
        <v>53.671802658238931</v>
      </c>
      <c r="F31" s="7">
        <f t="shared" si="8"/>
        <v>-1.0418026582389288</v>
      </c>
      <c r="G31" s="7">
        <f t="shared" si="9"/>
        <v>1.0418026582389288</v>
      </c>
    </row>
    <row r="32" spans="1:7" x14ac:dyDescent="0.35">
      <c r="A32" s="7">
        <f>'Test Data'!A9</f>
        <v>23</v>
      </c>
      <c r="B32" s="7">
        <f t="shared" si="5"/>
        <v>0.66913060635885835</v>
      </c>
      <c r="C32" s="7">
        <f t="shared" si="6"/>
        <v>-0.74314482547739402</v>
      </c>
      <c r="D32" s="7">
        <f>'Test Data'!B9</f>
        <v>70.78</v>
      </c>
      <c r="E32" s="7">
        <f t="shared" si="7"/>
        <v>70.027409256330742</v>
      </c>
      <c r="F32" s="7">
        <f t="shared" si="8"/>
        <v>0.75259074366925915</v>
      </c>
      <c r="G32" s="7">
        <f t="shared" si="9"/>
        <v>0.75259074366925915</v>
      </c>
    </row>
    <row r="34" spans="1:7" x14ac:dyDescent="0.35">
      <c r="A34" s="9" t="s">
        <v>19</v>
      </c>
    </row>
    <row r="35" spans="1:7" x14ac:dyDescent="0.35">
      <c r="A35" s="5" t="s">
        <v>2</v>
      </c>
      <c r="B35" s="5" t="s">
        <v>47</v>
      </c>
      <c r="C35" s="5" t="s">
        <v>48</v>
      </c>
      <c r="D35" s="5" t="s">
        <v>3</v>
      </c>
      <c r="E35" s="5" t="s">
        <v>15</v>
      </c>
      <c r="F35" s="5" t="s">
        <v>16</v>
      </c>
      <c r="G35" s="5" t="s">
        <v>17</v>
      </c>
    </row>
    <row r="36" spans="1:7" x14ac:dyDescent="0.35">
      <c r="A36" s="8">
        <f>'Extension Data'!A4</f>
        <v>25</v>
      </c>
      <c r="B36" s="8">
        <f t="shared" ref="B36:B71" si="10">SIN(2*PI()*A36/$B$2)</f>
        <v>0.49999999999999994</v>
      </c>
      <c r="C36" s="8">
        <f t="shared" ref="C36:C71" si="11">COS(2*PI()*A36/$B$2)</f>
        <v>-0.86602540378443871</v>
      </c>
      <c r="D36" s="8">
        <f>'Extension Data'!B4</f>
        <v>75.959999999999994</v>
      </c>
      <c r="E36" s="8">
        <f t="shared" ref="E36:E71" si="12">$K$3+$J$3*A36+$I$3*B36+$H$3*C36</f>
        <v>75.507660890253703</v>
      </c>
      <c r="F36" s="8">
        <f t="shared" ref="F36:F71" si="13">D36-E36</f>
        <v>0.45233910974629055</v>
      </c>
      <c r="G36" s="8">
        <f t="shared" ref="G36:G71" si="14">ABS(F36)</f>
        <v>0.45233910974629055</v>
      </c>
    </row>
    <row r="37" spans="1:7" x14ac:dyDescent="0.35">
      <c r="A37" s="8">
        <f>'Extension Data'!A5</f>
        <v>26</v>
      </c>
      <c r="B37" s="8">
        <f t="shared" si="10"/>
        <v>0.40673664307580004</v>
      </c>
      <c r="C37" s="8">
        <f t="shared" si="11"/>
        <v>-0.91354545764260098</v>
      </c>
      <c r="D37" s="8">
        <f>'Extension Data'!B5</f>
        <v>80.569999999999993</v>
      </c>
      <c r="E37" s="8">
        <f t="shared" si="12"/>
        <v>77.888133459087115</v>
      </c>
      <c r="F37" s="8">
        <f t="shared" si="13"/>
        <v>2.6818665409128783</v>
      </c>
      <c r="G37" s="8">
        <f t="shared" si="14"/>
        <v>2.6818665409128783</v>
      </c>
    </row>
    <row r="38" spans="1:7" x14ac:dyDescent="0.35">
      <c r="A38" s="8">
        <f>'Extension Data'!A6</f>
        <v>27</v>
      </c>
      <c r="B38" s="8">
        <f t="shared" si="10"/>
        <v>0.30901699437494751</v>
      </c>
      <c r="C38" s="8">
        <f t="shared" si="11"/>
        <v>-0.95105651629515353</v>
      </c>
      <c r="D38" s="8">
        <f>'Extension Data'!B6</f>
        <v>86.49</v>
      </c>
      <c r="E38" s="8">
        <f t="shared" si="12"/>
        <v>79.991780703490519</v>
      </c>
      <c r="F38" s="8">
        <f t="shared" si="13"/>
        <v>6.4982192965094754</v>
      </c>
      <c r="G38" s="8">
        <f t="shared" si="14"/>
        <v>6.4982192965094754</v>
      </c>
    </row>
    <row r="39" spans="1:7" x14ac:dyDescent="0.35">
      <c r="A39" s="8">
        <f>'Extension Data'!A7</f>
        <v>28</v>
      </c>
      <c r="B39" s="8">
        <f t="shared" si="10"/>
        <v>0.20791169081775931</v>
      </c>
      <c r="C39" s="8">
        <f t="shared" si="11"/>
        <v>-0.97814760073380569</v>
      </c>
      <c r="D39" s="8">
        <f>'Extension Data'!B7</f>
        <v>85.03</v>
      </c>
      <c r="E39" s="8">
        <f t="shared" si="12"/>
        <v>81.79452719816021</v>
      </c>
      <c r="F39" s="8">
        <f t="shared" si="13"/>
        <v>3.2354728018397907</v>
      </c>
      <c r="G39" s="8">
        <f t="shared" si="14"/>
        <v>3.2354728018397907</v>
      </c>
    </row>
    <row r="40" spans="1:7" x14ac:dyDescent="0.35">
      <c r="A40" s="8">
        <f>'Extension Data'!A8</f>
        <v>29</v>
      </c>
      <c r="B40" s="8">
        <f t="shared" si="10"/>
        <v>0.10452846326765329</v>
      </c>
      <c r="C40" s="8">
        <f t="shared" si="11"/>
        <v>-0.9945218953682734</v>
      </c>
      <c r="D40" s="8">
        <f>'Extension Data'!B8</f>
        <v>87.94</v>
      </c>
      <c r="E40" s="8">
        <f t="shared" si="12"/>
        <v>83.275594249374095</v>
      </c>
      <c r="F40" s="8">
        <f t="shared" si="13"/>
        <v>4.6644057506259031</v>
      </c>
      <c r="G40" s="8">
        <f t="shared" si="14"/>
        <v>4.6644057506259031</v>
      </c>
    </row>
    <row r="41" spans="1:7" x14ac:dyDescent="0.35">
      <c r="A41" s="8">
        <f>'Extension Data'!A9</f>
        <v>30</v>
      </c>
      <c r="B41" s="8">
        <f t="shared" si="10"/>
        <v>5.6660405534092462E-16</v>
      </c>
      <c r="C41" s="8">
        <f t="shared" si="11"/>
        <v>-1</v>
      </c>
      <c r="D41" s="8">
        <f>'Extension Data'!B9</f>
        <v>93.28</v>
      </c>
      <c r="E41" s="8">
        <f t="shared" si="12"/>
        <v>84.417727550708307</v>
      </c>
      <c r="F41" s="8">
        <f t="shared" si="13"/>
        <v>8.8622724492916944</v>
      </c>
      <c r="G41" s="8">
        <f t="shared" si="14"/>
        <v>8.8622724492916944</v>
      </c>
    </row>
    <row r="42" spans="1:7" x14ac:dyDescent="0.35">
      <c r="A42" s="8">
        <f>'Extension Data'!A10</f>
        <v>31</v>
      </c>
      <c r="B42" s="8">
        <f t="shared" si="10"/>
        <v>-0.10452846326765305</v>
      </c>
      <c r="C42" s="8">
        <f t="shared" si="11"/>
        <v>-0.9945218953682734</v>
      </c>
      <c r="D42" s="8">
        <f>'Extension Data'!B10</f>
        <v>91.87</v>
      </c>
      <c r="E42" s="8">
        <f t="shared" si="12"/>
        <v>85.207386224829179</v>
      </c>
      <c r="F42" s="8">
        <f t="shared" si="13"/>
        <v>6.6626137751708256</v>
      </c>
      <c r="G42" s="8">
        <f t="shared" si="14"/>
        <v>6.6626137751708256</v>
      </c>
    </row>
    <row r="43" spans="1:7" x14ac:dyDescent="0.35">
      <c r="A43" s="8">
        <f>'Extension Data'!A11</f>
        <v>32</v>
      </c>
      <c r="B43" s="8">
        <f t="shared" si="10"/>
        <v>-0.20791169081775907</v>
      </c>
      <c r="C43" s="8">
        <f t="shared" si="11"/>
        <v>-0.97814760073380569</v>
      </c>
      <c r="D43" s="8">
        <f>'Extension Data'!B11</f>
        <v>95.55</v>
      </c>
      <c r="E43" s="8">
        <f t="shared" si="12"/>
        <v>85.634891180178769</v>
      </c>
      <c r="F43" s="8">
        <f t="shared" si="13"/>
        <v>9.9151088198212278</v>
      </c>
      <c r="G43" s="8">
        <f t="shared" si="14"/>
        <v>9.9151088198212278</v>
      </c>
    </row>
    <row r="44" spans="1:7" x14ac:dyDescent="0.35">
      <c r="A44" s="8">
        <f>'Extension Data'!A12</f>
        <v>33</v>
      </c>
      <c r="B44" s="8">
        <f t="shared" si="10"/>
        <v>-0.30901699437494728</v>
      </c>
      <c r="C44" s="8">
        <f t="shared" si="11"/>
        <v>-0.95105651629515364</v>
      </c>
      <c r="D44" s="8">
        <f>'Extension Data'!B12</f>
        <v>100.38</v>
      </c>
      <c r="E44" s="8">
        <f t="shared" si="12"/>
        <v>85.694531157127571</v>
      </c>
      <c r="F44" s="8">
        <f t="shared" si="13"/>
        <v>14.685468842872424</v>
      </c>
      <c r="G44" s="8">
        <f t="shared" si="14"/>
        <v>14.685468842872424</v>
      </c>
    </row>
    <row r="45" spans="1:7" x14ac:dyDescent="0.35">
      <c r="A45" s="8">
        <f>'Extension Data'!A13</f>
        <v>34</v>
      </c>
      <c r="B45" s="8">
        <f t="shared" si="10"/>
        <v>-0.40673664307580021</v>
      </c>
      <c r="C45" s="8">
        <f t="shared" si="11"/>
        <v>-0.91354545764260087</v>
      </c>
      <c r="D45" s="8">
        <f>'Extension Data'!B13</f>
        <v>101.82</v>
      </c>
      <c r="E45" s="8">
        <f t="shared" si="12"/>
        <v>85.384625301730125</v>
      </c>
      <c r="F45" s="8">
        <f t="shared" si="13"/>
        <v>16.435374698269868</v>
      </c>
      <c r="G45" s="8">
        <f t="shared" si="14"/>
        <v>16.435374698269868</v>
      </c>
    </row>
    <row r="46" spans="1:7" x14ac:dyDescent="0.35">
      <c r="A46" s="8">
        <f>'Extension Data'!A14</f>
        <v>35</v>
      </c>
      <c r="B46" s="8">
        <f t="shared" si="10"/>
        <v>-0.49999999999999972</v>
      </c>
      <c r="C46" s="8">
        <f t="shared" si="11"/>
        <v>-0.86602540378443882</v>
      </c>
      <c r="D46" s="8">
        <f>'Extension Data'!B14</f>
        <v>102.65</v>
      </c>
      <c r="E46" s="8">
        <f t="shared" si="12"/>
        <v>84.707541581512601</v>
      </c>
      <c r="F46" s="8">
        <f t="shared" si="13"/>
        <v>17.942458418487405</v>
      </c>
      <c r="G46" s="8">
        <f t="shared" si="14"/>
        <v>17.942458418487405</v>
      </c>
    </row>
    <row r="47" spans="1:7" x14ac:dyDescent="0.35">
      <c r="A47" s="8">
        <f>'Extension Data'!A15</f>
        <v>36</v>
      </c>
      <c r="B47" s="8">
        <f t="shared" si="10"/>
        <v>-0.58778525229247303</v>
      </c>
      <c r="C47" s="8">
        <f t="shared" si="11"/>
        <v>-0.80901699437494756</v>
      </c>
      <c r="D47" s="8">
        <f>'Extension Data'!B15</f>
        <v>105.71</v>
      </c>
      <c r="E47" s="8">
        <f t="shared" si="12"/>
        <v>83.669670841525061</v>
      </c>
      <c r="F47" s="8">
        <f t="shared" si="13"/>
        <v>22.040329158474933</v>
      </c>
      <c r="G47" s="8">
        <f t="shared" si="14"/>
        <v>22.040329158474933</v>
      </c>
    </row>
    <row r="48" spans="1:7" x14ac:dyDescent="0.35">
      <c r="A48" s="8">
        <f>'Extension Data'!A16</f>
        <v>37</v>
      </c>
      <c r="B48" s="8">
        <f t="shared" si="10"/>
        <v>-0.66913060635885824</v>
      </c>
      <c r="C48" s="8">
        <f t="shared" si="11"/>
        <v>-0.74314482547739424</v>
      </c>
      <c r="D48" s="8">
        <f>'Extension Data'!B16</f>
        <v>99.2</v>
      </c>
      <c r="E48" s="8">
        <f t="shared" si="12"/>
        <v>82.28135678490564</v>
      </c>
      <c r="F48" s="8">
        <f t="shared" si="13"/>
        <v>16.918643215094363</v>
      </c>
      <c r="G48" s="8">
        <f t="shared" si="14"/>
        <v>16.918643215094363</v>
      </c>
    </row>
    <row r="49" spans="1:7" x14ac:dyDescent="0.35">
      <c r="A49" s="8">
        <f>'Extension Data'!A17</f>
        <v>38</v>
      </c>
      <c r="B49" s="8">
        <f t="shared" si="10"/>
        <v>-0.74314482547739402</v>
      </c>
      <c r="C49" s="8">
        <f t="shared" si="11"/>
        <v>-0.66913060635885846</v>
      </c>
      <c r="D49" s="8">
        <f>'Extension Data'!B17</f>
        <v>109.5</v>
      </c>
      <c r="E49" s="8">
        <f t="shared" si="12"/>
        <v>80.556782645104562</v>
      </c>
      <c r="F49" s="8">
        <f t="shared" si="13"/>
        <v>28.943217354895438</v>
      </c>
      <c r="G49" s="8">
        <f t="shared" si="14"/>
        <v>28.943217354895438</v>
      </c>
    </row>
    <row r="50" spans="1:7" x14ac:dyDescent="0.35">
      <c r="A50" s="8">
        <f>'Extension Data'!A18</f>
        <v>39</v>
      </c>
      <c r="B50" s="8">
        <f t="shared" si="10"/>
        <v>-0.80901699437494734</v>
      </c>
      <c r="C50" s="8">
        <f t="shared" si="11"/>
        <v>-0.58778525229247325</v>
      </c>
      <c r="D50" s="8">
        <f>'Extension Data'!B18</f>
        <v>106.04</v>
      </c>
      <c r="E50" s="8">
        <f t="shared" si="12"/>
        <v>78.513815791410252</v>
      </c>
      <c r="F50" s="8">
        <f t="shared" si="13"/>
        <v>27.526184208589754</v>
      </c>
      <c r="G50" s="8">
        <f t="shared" si="14"/>
        <v>27.526184208589754</v>
      </c>
    </row>
    <row r="51" spans="1:7" x14ac:dyDescent="0.35">
      <c r="A51" s="8">
        <f>'Extension Data'!A19</f>
        <v>40</v>
      </c>
      <c r="B51" s="8">
        <f t="shared" si="10"/>
        <v>-0.86602540378443837</v>
      </c>
      <c r="C51" s="8">
        <f t="shared" si="11"/>
        <v>-0.50000000000000044</v>
      </c>
      <c r="D51" s="8">
        <f>'Extension Data'!B19</f>
        <v>105.34</v>
      </c>
      <c r="E51" s="8">
        <f t="shared" si="12"/>
        <v>76.173811970312585</v>
      </c>
      <c r="F51" s="8">
        <f t="shared" si="13"/>
        <v>29.166188029687419</v>
      </c>
      <c r="G51" s="8">
        <f t="shared" si="14"/>
        <v>29.166188029687419</v>
      </c>
    </row>
    <row r="52" spans="1:7" x14ac:dyDescent="0.35">
      <c r="A52" s="8">
        <f>'Extension Data'!A20</f>
        <v>41</v>
      </c>
      <c r="B52" s="8">
        <f t="shared" si="10"/>
        <v>-0.91354545764260053</v>
      </c>
      <c r="C52" s="8">
        <f t="shared" si="11"/>
        <v>-0.40673664307580087</v>
      </c>
      <c r="D52" s="8">
        <f>'Extension Data'!B20</f>
        <v>110.89</v>
      </c>
      <c r="E52" s="8">
        <f t="shared" si="12"/>
        <v>73.561381327475218</v>
      </c>
      <c r="F52" s="8">
        <f t="shared" si="13"/>
        <v>37.328618672524783</v>
      </c>
      <c r="G52" s="8">
        <f t="shared" si="14"/>
        <v>37.328618672524783</v>
      </c>
    </row>
    <row r="53" spans="1:7" x14ac:dyDescent="0.35">
      <c r="A53" s="8">
        <f>'Extension Data'!A21</f>
        <v>42</v>
      </c>
      <c r="B53" s="8">
        <f t="shared" si="10"/>
        <v>-0.95105651629515353</v>
      </c>
      <c r="C53" s="8">
        <f t="shared" si="11"/>
        <v>-0.30901699437494756</v>
      </c>
      <c r="D53" s="8">
        <f>'Extension Data'!B21</f>
        <v>112.67</v>
      </c>
      <c r="E53" s="8">
        <f t="shared" si="12"/>
        <v>70.704118773829791</v>
      </c>
      <c r="F53" s="8">
        <f t="shared" si="13"/>
        <v>41.965881226170211</v>
      </c>
      <c r="G53" s="8">
        <f t="shared" si="14"/>
        <v>41.965881226170211</v>
      </c>
    </row>
    <row r="54" spans="1:7" x14ac:dyDescent="0.35">
      <c r="A54" s="8">
        <f>'Extension Data'!A22</f>
        <v>43</v>
      </c>
      <c r="B54" s="8">
        <f t="shared" si="10"/>
        <v>-0.97814760073380558</v>
      </c>
      <c r="C54" s="8">
        <f t="shared" si="11"/>
        <v>-0.20791169081775979</v>
      </c>
      <c r="D54" s="8">
        <f>'Extension Data'!B22</f>
        <v>110.43</v>
      </c>
      <c r="E54" s="8">
        <f t="shared" si="12"/>
        <v>67.632301649957171</v>
      </c>
      <c r="F54" s="8">
        <f t="shared" si="13"/>
        <v>42.797698350042836</v>
      </c>
      <c r="G54" s="8">
        <f t="shared" si="14"/>
        <v>42.797698350042836</v>
      </c>
    </row>
    <row r="55" spans="1:7" x14ac:dyDescent="0.35">
      <c r="A55" s="8">
        <f>'Extension Data'!A23</f>
        <v>44</v>
      </c>
      <c r="B55" s="8">
        <f t="shared" si="10"/>
        <v>-0.99452189536827329</v>
      </c>
      <c r="C55" s="8">
        <f t="shared" si="11"/>
        <v>-0.10452846326765423</v>
      </c>
      <c r="D55" s="8">
        <f>'Extension Data'!B23</f>
        <v>109.28</v>
      </c>
      <c r="E55" s="8">
        <f t="shared" si="12"/>
        <v>64.378558001208006</v>
      </c>
      <c r="F55" s="8">
        <f t="shared" si="13"/>
        <v>44.901441998791995</v>
      </c>
      <c r="G55" s="8">
        <f t="shared" si="14"/>
        <v>44.901441998791995</v>
      </c>
    </row>
    <row r="56" spans="1:7" x14ac:dyDescent="0.35">
      <c r="A56" s="8">
        <f>'Extension Data'!A24</f>
        <v>45</v>
      </c>
      <c r="B56" s="8">
        <f t="shared" si="10"/>
        <v>-1</v>
      </c>
      <c r="C56" s="8">
        <f t="shared" si="11"/>
        <v>-1.83772268236293E-16</v>
      </c>
      <c r="D56" s="8">
        <f>'Extension Data'!B24</f>
        <v>112.41</v>
      </c>
      <c r="E56" s="8">
        <f t="shared" si="12"/>
        <v>60.97750909801006</v>
      </c>
      <c r="F56" s="8">
        <f t="shared" si="13"/>
        <v>51.432490901989937</v>
      </c>
      <c r="G56" s="8">
        <f t="shared" si="14"/>
        <v>51.432490901989937</v>
      </c>
    </row>
    <row r="57" spans="1:7" x14ac:dyDescent="0.35">
      <c r="A57" s="8">
        <f>'Extension Data'!A25</f>
        <v>46</v>
      </c>
      <c r="B57" s="8">
        <f t="shared" si="10"/>
        <v>-0.9945218953682734</v>
      </c>
      <c r="C57" s="8">
        <f t="shared" si="11"/>
        <v>0.10452846326765299</v>
      </c>
      <c r="D57" s="8">
        <f>'Extension Data'!B25</f>
        <v>112.46</v>
      </c>
      <c r="E57" s="8">
        <f t="shared" si="12"/>
        <v>57.465390117984519</v>
      </c>
      <c r="F57" s="8">
        <f t="shared" si="13"/>
        <v>54.994609882015475</v>
      </c>
      <c r="G57" s="8">
        <f t="shared" si="14"/>
        <v>54.994609882015475</v>
      </c>
    </row>
    <row r="58" spans="1:7" x14ac:dyDescent="0.35">
      <c r="A58" s="8">
        <f>'Extension Data'!A26</f>
        <v>47</v>
      </c>
      <c r="B58" s="8">
        <f t="shared" si="10"/>
        <v>-0.97814760073380558</v>
      </c>
      <c r="C58" s="8">
        <f t="shared" si="11"/>
        <v>0.20791169081775943</v>
      </c>
      <c r="D58" s="8">
        <f>'Extension Data'!B26</f>
        <v>116.44</v>
      </c>
      <c r="E58" s="8">
        <f t="shared" si="12"/>
        <v>53.879653145757096</v>
      </c>
      <c r="F58" s="8">
        <f t="shared" si="13"/>
        <v>62.560346854242901</v>
      </c>
      <c r="G58" s="8">
        <f t="shared" si="14"/>
        <v>62.560346854242901</v>
      </c>
    </row>
    <row r="59" spans="1:7" x14ac:dyDescent="0.35">
      <c r="A59" s="8">
        <f>'Extension Data'!A27</f>
        <v>48</v>
      </c>
      <c r="B59" s="8">
        <f t="shared" si="10"/>
        <v>-0.95105651629515364</v>
      </c>
      <c r="C59" s="8">
        <f t="shared" si="11"/>
        <v>0.30901699437494723</v>
      </c>
      <c r="D59" s="8">
        <f>'Extension Data'!B27</f>
        <v>114.86</v>
      </c>
      <c r="E59" s="8">
        <f t="shared" si="12"/>
        <v>50.258556840081738</v>
      </c>
      <c r="F59" s="8">
        <f t="shared" si="13"/>
        <v>64.601443159918261</v>
      </c>
      <c r="G59" s="8">
        <f t="shared" si="14"/>
        <v>64.601443159918261</v>
      </c>
    </row>
    <row r="60" spans="1:7" x14ac:dyDescent="0.35">
      <c r="A60" s="8">
        <f>'Extension Data'!A28</f>
        <v>49</v>
      </c>
      <c r="B60" s="8">
        <f t="shared" si="10"/>
        <v>-0.91354545764260109</v>
      </c>
      <c r="C60" s="8">
        <f t="shared" si="11"/>
        <v>0.40673664307579976</v>
      </c>
      <c r="D60" s="8">
        <f>'Extension Data'!B28</f>
        <v>113.48</v>
      </c>
      <c r="E60" s="8">
        <f t="shared" si="12"/>
        <v>46.640747263968976</v>
      </c>
      <c r="F60" s="8">
        <f t="shared" si="13"/>
        <v>66.839252736031028</v>
      </c>
      <c r="G60" s="8">
        <f t="shared" si="14"/>
        <v>66.839252736031028</v>
      </c>
    </row>
    <row r="61" spans="1:7" x14ac:dyDescent="0.35">
      <c r="A61" s="8">
        <f>'Extension Data'!A29</f>
        <v>50</v>
      </c>
      <c r="B61" s="8">
        <f t="shared" si="10"/>
        <v>-0.8660254037844386</v>
      </c>
      <c r="C61" s="8">
        <f t="shared" si="11"/>
        <v>0.50000000000000011</v>
      </c>
      <c r="D61" s="8">
        <f>'Extension Data'!B29</f>
        <v>116.02</v>
      </c>
      <c r="E61" s="8">
        <f t="shared" si="12"/>
        <v>43.064834470332457</v>
      </c>
      <c r="F61" s="8">
        <f t="shared" si="13"/>
        <v>72.955165529667539</v>
      </c>
      <c r="G61" s="8">
        <f t="shared" si="14"/>
        <v>72.955165529667539</v>
      </c>
    </row>
    <row r="62" spans="1:7" x14ac:dyDescent="0.35">
      <c r="A62" s="8">
        <f>'Extension Data'!A30</f>
        <v>51</v>
      </c>
      <c r="B62" s="8">
        <f t="shared" si="10"/>
        <v>-0.80901699437494756</v>
      </c>
      <c r="C62" s="8">
        <f t="shared" si="11"/>
        <v>0.58778525229247292</v>
      </c>
      <c r="D62" s="8">
        <f>'Extension Data'!B30</f>
        <v>112.52</v>
      </c>
      <c r="E62" s="8">
        <f t="shared" si="12"/>
        <v>39.568969482169649</v>
      </c>
      <c r="F62" s="8">
        <f t="shared" si="13"/>
        <v>72.951030517830347</v>
      </c>
      <c r="G62" s="8">
        <f t="shared" si="14"/>
        <v>72.951030517830347</v>
      </c>
    </row>
    <row r="63" spans="1:7" x14ac:dyDescent="0.35">
      <c r="A63" s="8">
        <f>'Extension Data'!A31</f>
        <v>52</v>
      </c>
      <c r="B63" s="8">
        <f t="shared" si="10"/>
        <v>-0.74314482547739402</v>
      </c>
      <c r="C63" s="8">
        <f t="shared" si="11"/>
        <v>0.66913060635885846</v>
      </c>
      <c r="D63" s="8">
        <f>'Extension Data'!B31</f>
        <v>110.61</v>
      </c>
      <c r="E63" s="8">
        <f t="shared" si="12"/>
        <v>36.190426301970035</v>
      </c>
      <c r="F63" s="8">
        <f t="shared" si="13"/>
        <v>74.419573698029964</v>
      </c>
      <c r="G63" s="8">
        <f t="shared" si="14"/>
        <v>74.419573698029964</v>
      </c>
    </row>
    <row r="64" spans="1:7" x14ac:dyDescent="0.35">
      <c r="A64" s="8">
        <f>'Extension Data'!A32</f>
        <v>53</v>
      </c>
      <c r="B64" s="8">
        <f t="shared" si="10"/>
        <v>-0.66913060635885813</v>
      </c>
      <c r="C64" s="8">
        <f t="shared" si="11"/>
        <v>0.74314482547739424</v>
      </c>
      <c r="D64" s="8">
        <f>'Extension Data'!B32</f>
        <v>114.93</v>
      </c>
      <c r="E64" s="8">
        <f t="shared" si="12"/>
        <v>32.965193529944024</v>
      </c>
      <c r="F64" s="8">
        <f t="shared" si="13"/>
        <v>81.964806470055976</v>
      </c>
      <c r="G64" s="8">
        <f t="shared" si="14"/>
        <v>81.964806470055976</v>
      </c>
    </row>
    <row r="65" spans="1:7" x14ac:dyDescent="0.35">
      <c r="A65" s="8">
        <f>'Extension Data'!A33</f>
        <v>54</v>
      </c>
      <c r="B65" s="8">
        <f t="shared" si="10"/>
        <v>-0.58778525229247336</v>
      </c>
      <c r="C65" s="8">
        <f t="shared" si="11"/>
        <v>0.80901699437494734</v>
      </c>
      <c r="D65" s="8">
        <f>'Extension Data'!B33</f>
        <v>115.14</v>
      </c>
      <c r="E65" s="8">
        <f t="shared" si="12"/>
        <v>29.927580065387708</v>
      </c>
      <c r="F65" s="8">
        <f t="shared" si="13"/>
        <v>85.212419934612285</v>
      </c>
      <c r="G65" s="8">
        <f t="shared" si="14"/>
        <v>85.212419934612285</v>
      </c>
    </row>
    <row r="66" spans="1:7" x14ac:dyDescent="0.35">
      <c r="A66" s="8">
        <f>'Extension Data'!A34</f>
        <v>55</v>
      </c>
      <c r="B66" s="8">
        <f t="shared" si="10"/>
        <v>-0.49999999999999967</v>
      </c>
      <c r="C66" s="8">
        <f t="shared" si="11"/>
        <v>0.86602540378443882</v>
      </c>
      <c r="D66" s="8">
        <f>'Extension Data'!B34</f>
        <v>113.17</v>
      </c>
      <c r="E66" s="8">
        <f t="shared" si="12"/>
        <v>27.10983921120269</v>
      </c>
      <c r="F66" s="8">
        <f t="shared" si="13"/>
        <v>86.060160788797305</v>
      </c>
      <c r="G66" s="8">
        <f t="shared" si="14"/>
        <v>86.060160788797305</v>
      </c>
    </row>
    <row r="67" spans="1:7" x14ac:dyDescent="0.35">
      <c r="A67" s="8">
        <f>'Extension Data'!A35</f>
        <v>56</v>
      </c>
      <c r="B67" s="8">
        <f t="shared" si="10"/>
        <v>-0.40673664307580015</v>
      </c>
      <c r="C67" s="8">
        <f t="shared" si="11"/>
        <v>0.91354545764260098</v>
      </c>
      <c r="D67" s="8">
        <f>'Extension Data'!B35</f>
        <v>111.92</v>
      </c>
      <c r="E67" s="8">
        <f t="shared" si="12"/>
        <v>24.541815299960113</v>
      </c>
      <c r="F67" s="8">
        <f t="shared" si="13"/>
        <v>87.378184700039895</v>
      </c>
      <c r="G67" s="8">
        <f t="shared" si="14"/>
        <v>87.378184700039895</v>
      </c>
    </row>
    <row r="68" spans="1:7" x14ac:dyDescent="0.35">
      <c r="A68" s="8">
        <f>'Extension Data'!A36</f>
        <v>57</v>
      </c>
      <c r="B68" s="8">
        <f t="shared" si="10"/>
        <v>-0.30901699437494762</v>
      </c>
      <c r="C68" s="8">
        <f t="shared" si="11"/>
        <v>0.95105651629515353</v>
      </c>
      <c r="D68" s="8">
        <f>'Extension Data'!B36</f>
        <v>115.37</v>
      </c>
      <c r="E68" s="8">
        <f t="shared" si="12"/>
        <v>22.250616713147529</v>
      </c>
      <c r="F68" s="8">
        <f t="shared" si="13"/>
        <v>93.119383286852468</v>
      </c>
      <c r="G68" s="8">
        <f t="shared" si="14"/>
        <v>93.119383286852468</v>
      </c>
    </row>
    <row r="69" spans="1:7" x14ac:dyDescent="0.35">
      <c r="A69" s="8">
        <f>'Extension Data'!A37</f>
        <v>58</v>
      </c>
      <c r="B69" s="8">
        <f t="shared" si="10"/>
        <v>-0.20791169081775898</v>
      </c>
      <c r="C69" s="8">
        <f t="shared" si="11"/>
        <v>0.97814760073380569</v>
      </c>
      <c r="D69" s="8">
        <f>'Extension Data'!B37</f>
        <v>108.04</v>
      </c>
      <c r="E69" s="8">
        <f t="shared" si="12"/>
        <v>20.260318876068656</v>
      </c>
      <c r="F69" s="8">
        <f t="shared" si="13"/>
        <v>87.779681123931354</v>
      </c>
      <c r="G69" s="8">
        <f t="shared" si="14"/>
        <v>87.779681123931354</v>
      </c>
    </row>
    <row r="70" spans="1:7" x14ac:dyDescent="0.35">
      <c r="A70" s="8">
        <f>'Extension Data'!A38</f>
        <v>59</v>
      </c>
      <c r="B70" s="8">
        <f t="shared" si="10"/>
        <v>-0.10452846326765342</v>
      </c>
      <c r="C70" s="8">
        <f t="shared" si="11"/>
        <v>0.99452189536827329</v>
      </c>
      <c r="D70" s="8">
        <f>'Extension Data'!B38</f>
        <v>118.27</v>
      </c>
      <c r="E70" s="8">
        <f t="shared" si="12"/>
        <v>18.591700482445589</v>
      </c>
      <c r="F70" s="8">
        <f t="shared" si="13"/>
        <v>99.678299517554407</v>
      </c>
      <c r="G70" s="8">
        <f t="shared" si="14"/>
        <v>99.678299517554407</v>
      </c>
    </row>
    <row r="71" spans="1:7" x14ac:dyDescent="0.35">
      <c r="A71" s="8">
        <f>'Extension Data'!A39</f>
        <v>60</v>
      </c>
      <c r="B71" s="8">
        <f t="shared" si="10"/>
        <v>-1.1332081106818492E-15</v>
      </c>
      <c r="C71" s="8">
        <f t="shared" si="11"/>
        <v>1</v>
      </c>
      <c r="D71" s="8">
        <f>'Extension Data'!B39</f>
        <v>118.72</v>
      </c>
      <c r="E71" s="8">
        <f t="shared" si="12"/>
        <v>17.262015838702197</v>
      </c>
      <c r="F71" s="8">
        <f t="shared" si="13"/>
        <v>101.4579841612978</v>
      </c>
      <c r="G71" s="8">
        <f t="shared" si="14"/>
        <v>101.4579841612978</v>
      </c>
    </row>
    <row r="73" spans="1:7" x14ac:dyDescent="0.35">
      <c r="A73" s="9" t="s">
        <v>20</v>
      </c>
      <c r="B73" s="11">
        <f>AVERAGE(G6:G23)</f>
        <v>0.81619185261099958</v>
      </c>
    </row>
    <row r="74" spans="1:7" x14ac:dyDescent="0.35">
      <c r="A74" s="9" t="s">
        <v>21</v>
      </c>
      <c r="B74" s="11">
        <f>AVERAGE(G27:G32)</f>
        <v>2.3240711720598468</v>
      </c>
    </row>
    <row r="75" spans="1:7" x14ac:dyDescent="0.35">
      <c r="A75" s="9" t="s">
        <v>22</v>
      </c>
      <c r="B75" s="11">
        <f>AVERAGE(G36:G71)</f>
        <v>45.195239888352404</v>
      </c>
    </row>
    <row r="76" spans="1:7" x14ac:dyDescent="0.35">
      <c r="A76" s="9" t="s">
        <v>23</v>
      </c>
      <c r="B76" s="11">
        <f>CORREL(F6:F22,F7:F23)</f>
        <v>-0.18975653755659372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2"/>
  <sheetViews>
    <sheetView zoomScaleNormal="100" workbookViewId="0">
      <selection activeCell="A4" sqref="A4:D8"/>
    </sheetView>
  </sheetViews>
  <sheetFormatPr defaultColWidth="8.6328125" defaultRowHeight="14.5" x14ac:dyDescent="0.35"/>
  <cols>
    <col min="1" max="1" width="24" customWidth="1"/>
    <col min="2" max="3" width="13" customWidth="1"/>
    <col min="4" max="4" width="16" customWidth="1"/>
    <col min="5" max="5" width="30" customWidth="1"/>
    <col min="8" max="9" width="10" customWidth="1"/>
    <col min="10" max="10" width="15" customWidth="1"/>
    <col min="11" max="11" width="17" customWidth="1"/>
    <col min="12" max="12" width="15" customWidth="1"/>
  </cols>
  <sheetData>
    <row r="1" spans="1:12" ht="18" x14ac:dyDescent="0.4">
      <c r="A1" s="3" t="s">
        <v>49</v>
      </c>
      <c r="H1" s="9" t="s">
        <v>50</v>
      </c>
    </row>
    <row r="2" spans="1:12" x14ac:dyDescent="0.35">
      <c r="A2" s="4" t="s">
        <v>51</v>
      </c>
      <c r="H2" s="5" t="s">
        <v>2</v>
      </c>
      <c r="I2" s="5" t="s">
        <v>52</v>
      </c>
      <c r="J2" s="5" t="s">
        <v>53</v>
      </c>
      <c r="K2" s="5" t="s">
        <v>54</v>
      </c>
      <c r="L2" s="5" t="s">
        <v>55</v>
      </c>
    </row>
    <row r="3" spans="1:12" x14ac:dyDescent="0.35">
      <c r="H3" s="11">
        <v>1</v>
      </c>
      <c r="I3" s="11">
        <f>IFERROR(INDEX('Training Data'!$B$4:$B$21,MATCH(H3,'Training Data'!$A$4:$A$21,0)),IFERROR(INDEX('Test Data'!$B$4:$B$9,MATCH(H3,'Test Data'!$A$4:$A$9,0)),INDEX('Extension Data'!$B$4:$B$39,MATCH(H3,'Extension Data'!$A$4:$A$39,0))))</f>
        <v>22.27</v>
      </c>
      <c r="J3" s="11">
        <f>'Quadratic Fit'!$J$3+'Quadratic Fit'!$I$3*H3+'Quadratic Fit'!$H$3*H3^2</f>
        <v>19.508184243474528</v>
      </c>
      <c r="K3" s="11">
        <f>'Exponential Fit'!$I$3*'Exponential Fit'!$H$3^H3</f>
        <v>17.82368704589862</v>
      </c>
      <c r="L3" s="11">
        <f>'Sinusoidal Fit'!$K$3+'Sinusoidal Fit'!$J$3*H3+'Sinusoidal Fit'!$I$3*SIN(2*PI()*H3/'Sinusoidal Fit'!$B$2)+'Sinusoidal Fit'!$H$3*COS(2*PI()*H3/'Sinusoidal Fit'!$B$2)</f>
        <v>21.911346094447559</v>
      </c>
    </row>
    <row r="4" spans="1:12" x14ac:dyDescent="0.35">
      <c r="A4" s="5" t="s">
        <v>56</v>
      </c>
      <c r="B4" s="5" t="s">
        <v>20</v>
      </c>
      <c r="C4" s="5" t="s">
        <v>21</v>
      </c>
      <c r="D4" s="5" t="s">
        <v>22</v>
      </c>
      <c r="E4" s="5" t="s">
        <v>57</v>
      </c>
      <c r="H4" s="11">
        <v>2</v>
      </c>
      <c r="I4" s="11">
        <f>IFERROR(INDEX('Training Data'!$B$4:$B$21,MATCH(H4,'Training Data'!$A$4:$A$21,0)),IFERROR(INDEX('Test Data'!$B$4:$B$9,MATCH(H4,'Test Data'!$A$4:$A$9,0)),INDEX('Extension Data'!$B$4:$B$39,MATCH(H4,'Extension Data'!$A$4:$A$39,0))))</f>
        <v>16.84</v>
      </c>
      <c r="J4" s="11">
        <f>'Quadratic Fit'!$J$3+'Quadratic Fit'!$I$3*H4+'Quadratic Fit'!$H$3*H4^2</f>
        <v>20.00278368344474</v>
      </c>
      <c r="K4" s="11">
        <f>'Exponential Fit'!$I$3*'Exponential Fit'!$H$3^H4</f>
        <v>18.971174378025715</v>
      </c>
      <c r="L4" s="11">
        <f>'Sinusoidal Fit'!$K$3+'Sinusoidal Fit'!$J$3*H4+'Sinusoidal Fit'!$I$3*SIN(2*PI()*H4/'Sinusoidal Fit'!$B$2)+'Sinusoidal Fit'!$H$3*COS(2*PI()*H4/'Sinusoidal Fit'!$B$2)</f>
        <v>21.296289796688793</v>
      </c>
    </row>
    <row r="5" spans="1:12" x14ac:dyDescent="0.35">
      <c r="A5" s="11" t="s">
        <v>58</v>
      </c>
      <c r="B5" s="11">
        <f>'Polynomial Fit'!B73</f>
        <v>0.70070792130011328</v>
      </c>
      <c r="C5" s="11">
        <f>'Polynomial Fit'!B74</f>
        <v>2.4526751581419011</v>
      </c>
      <c r="D5" s="11">
        <f>'Polynomial Fit'!B75</f>
        <v>632585.21362086944</v>
      </c>
      <c r="E5" s="11">
        <f>'Polynomial Fit'!B76</f>
        <v>-0.28356403246364498</v>
      </c>
      <c r="H5" s="11">
        <v>3</v>
      </c>
      <c r="I5" s="11">
        <f>IFERROR(INDEX('Training Data'!$B$4:$B$21,MATCH(H5,'Training Data'!$A$4:$A$21,0)),IFERROR(INDEX('Test Data'!$B$4:$B$9,MATCH(H5,'Test Data'!$A$4:$A$9,0)),INDEX('Extension Data'!$B$4:$B$39,MATCH(H5,'Extension Data'!$A$4:$A$39,0))))</f>
        <v>21.12</v>
      </c>
      <c r="J5" s="11">
        <f>'Quadratic Fit'!$J$3+'Quadratic Fit'!$I$3*H5+'Quadratic Fit'!$H$3*H5^2</f>
        <v>20.675113978381475</v>
      </c>
      <c r="K5" s="11">
        <f>'Exponential Fit'!$I$3*'Exponential Fit'!$H$3^H5</f>
        <v>20.192536839019326</v>
      </c>
      <c r="L5" s="11">
        <f>'Sinusoidal Fit'!$K$3+'Sinusoidal Fit'!$J$3*H5+'Sinusoidal Fit'!$I$3*SIN(2*PI()*H5/'Sinusoidal Fit'!$B$2)+'Sinusoidal Fit'!$H$3*COS(2*PI()*H5/'Sinusoidal Fit'!$B$2)</f>
        <v>21.049098477330816</v>
      </c>
    </row>
    <row r="6" spans="1:12" x14ac:dyDescent="0.35">
      <c r="A6" s="11" t="s">
        <v>59</v>
      </c>
      <c r="B6" s="11">
        <f>'Quadratic Fit'!B73</f>
        <v>1.2287839233272733</v>
      </c>
      <c r="C6" s="11">
        <f>'Quadratic Fit'!B74</f>
        <v>1.7119659610969269</v>
      </c>
      <c r="D6" s="11">
        <f>'Quadratic Fit'!B75</f>
        <v>93.569133405079171</v>
      </c>
      <c r="E6" s="11">
        <f>'Quadratic Fit'!B76</f>
        <v>7.1073593042209032E-2</v>
      </c>
      <c r="H6" s="11">
        <v>4</v>
      </c>
      <c r="I6" s="11">
        <f>IFERROR(INDEX('Training Data'!$B$4:$B$21,MATCH(H6,'Training Data'!$A$4:$A$21,0)),IFERROR(INDEX('Test Data'!$B$4:$B$9,MATCH(H6,'Test Data'!$A$4:$A$9,0)),INDEX('Extension Data'!$B$4:$B$39,MATCH(H6,'Extension Data'!$A$4:$A$39,0))))</f>
        <v>20.58</v>
      </c>
      <c r="J6" s="11">
        <f>'Quadratic Fit'!$J$3+'Quadratic Fit'!$I$3*H6+'Quadratic Fit'!$H$3*H6^2</f>
        <v>21.52517512828474</v>
      </c>
      <c r="K6" s="11">
        <f>'Exponential Fit'!$I$3*'Exponential Fit'!$H$3^H6</f>
        <v>21.49253050287891</v>
      </c>
      <c r="L6" s="11">
        <f>'Sinusoidal Fit'!$K$3+'Sinusoidal Fit'!$J$3*H6+'Sinusoidal Fit'!$I$3*SIN(2*PI()*H6/'Sinusoidal Fit'!$B$2)+'Sinusoidal Fit'!$H$3*COS(2*PI()*H6/'Sinusoidal Fit'!$B$2)</f>
        <v>21.171452990319079</v>
      </c>
    </row>
    <row r="7" spans="1:12" x14ac:dyDescent="0.35">
      <c r="A7" s="11" t="s">
        <v>60</v>
      </c>
      <c r="B7" s="11">
        <f>'Exponential Fit'!B73</f>
        <v>1.6966545363941909</v>
      </c>
      <c r="C7" s="11">
        <f>'Exponential Fit'!B74</f>
        <v>1.6069025539763899</v>
      </c>
      <c r="D7" s="11">
        <f>'Exponential Fit'!B75</f>
        <v>185.10400465876762</v>
      </c>
      <c r="E7" s="11">
        <f>'Exponential Fit'!B76</f>
        <v>0.37126093483884182</v>
      </c>
      <c r="H7" s="11">
        <v>5</v>
      </c>
      <c r="I7" s="11">
        <f>IFERROR(INDEX('Training Data'!$B$4:$B$21,MATCH(H7,'Training Data'!$A$4:$A$21,0)),IFERROR(INDEX('Test Data'!$B$4:$B$9,MATCH(H7,'Test Data'!$A$4:$A$9,0)),INDEX('Extension Data'!$B$4:$B$39,MATCH(H7,'Extension Data'!$A$4:$A$39,0))))</f>
        <v>21.7</v>
      </c>
      <c r="J7" s="11">
        <f>'Quadratic Fit'!$J$3+'Quadratic Fit'!$I$3*H7+'Quadratic Fit'!$H$3*H7^2</f>
        <v>22.552967133154532</v>
      </c>
      <c r="K7" s="11">
        <f>'Exponential Fit'!$I$3*'Exponential Fit'!$H$3^H7</f>
        <v>22.876217639210438</v>
      </c>
      <c r="L7" s="11">
        <f>'Sinusoidal Fit'!$K$3+'Sinusoidal Fit'!$J$3*H7+'Sinusoidal Fit'!$I$3*SIN(2*PI()*H7/'Sinusoidal Fit'!$B$2)+'Sinusoidal Fit'!$H$3*COS(2*PI()*H7/'Sinusoidal Fit'!$B$2)</f>
        <v>21.66098536812741</v>
      </c>
    </row>
    <row r="8" spans="1:12" x14ac:dyDescent="0.35">
      <c r="A8" s="11" t="s">
        <v>61</v>
      </c>
      <c r="B8" s="11">
        <f>'Sinusoidal Fit'!B73</f>
        <v>0.81619185261099958</v>
      </c>
      <c r="C8" s="11">
        <f>'Sinusoidal Fit'!B74</f>
        <v>2.3240711720598468</v>
      </c>
      <c r="D8" s="11">
        <f>'Sinusoidal Fit'!B75</f>
        <v>45.195239888352404</v>
      </c>
      <c r="E8" s="11">
        <f>'Sinusoidal Fit'!B76</f>
        <v>-0.18975653755659372</v>
      </c>
      <c r="H8" s="11">
        <v>6</v>
      </c>
      <c r="I8" s="11">
        <f>IFERROR(INDEX('Training Data'!$B$4:$B$21,MATCH(H8,'Training Data'!$A$4:$A$21,0)),IFERROR(INDEX('Test Data'!$B$4:$B$9,MATCH(H8,'Test Data'!$A$4:$A$9,0)),INDEX('Extension Data'!$B$4:$B$39,MATCH(H8,'Extension Data'!$A$4:$A$39,0))))</f>
        <v>23.23</v>
      </c>
      <c r="J8" s="11">
        <f>'Quadratic Fit'!$J$3+'Quadratic Fit'!$I$3*H8+'Quadratic Fit'!$H$3*H8^2</f>
        <v>23.758489992990846</v>
      </c>
      <c r="K8" s="11">
        <f>'Exponential Fit'!$I$3*'Exponential Fit'!$H$3^H8</f>
        <v>24.348986426071331</v>
      </c>
      <c r="L8" s="11">
        <f>'Sinusoidal Fit'!$K$3+'Sinusoidal Fit'!$J$3*H8+'Sinusoidal Fit'!$I$3*SIN(2*PI()*H8/'Sinusoidal Fit'!$B$2)+'Sinusoidal Fit'!$H$3*COS(2*PI()*H8/'Sinusoidal Fit'!$B$2)</f>
        <v>22.511304765705777</v>
      </c>
    </row>
    <row r="9" spans="1:12" x14ac:dyDescent="0.35">
      <c r="H9" s="11">
        <v>7</v>
      </c>
      <c r="I9" s="11">
        <f>IFERROR(INDEX('Training Data'!$B$4:$B$21,MATCH(H9,'Training Data'!$A$4:$A$21,0)),IFERROR(INDEX('Test Data'!$B$4:$B$9,MATCH(H9,'Test Data'!$A$4:$A$9,0)),INDEX('Extension Data'!$B$4:$B$39,MATCH(H9,'Extension Data'!$A$4:$A$39,0))))</f>
        <v>22.11</v>
      </c>
      <c r="J9" s="11">
        <f>'Quadratic Fit'!$J$3+'Quadratic Fit'!$I$3*H9+'Quadratic Fit'!$H$3*H9^2</f>
        <v>25.141743707793687</v>
      </c>
      <c r="K9" s="11">
        <f>'Exponential Fit'!$I$3*'Exponential Fit'!$H$3^H9</f>
        <v>25.916571931926629</v>
      </c>
      <c r="L9" s="11">
        <f>'Sinusoidal Fit'!$K$3+'Sinusoidal Fit'!$J$3*H9+'Sinusoidal Fit'!$I$3*SIN(2*PI()*H9/'Sinusoidal Fit'!$B$2)+'Sinusoidal Fit'!$H$3*COS(2*PI()*H9/'Sinusoidal Fit'!$B$2)</f>
        <v>23.712067479916008</v>
      </c>
    </row>
    <row r="10" spans="1:12" x14ac:dyDescent="0.35">
      <c r="A10" s="4" t="s">
        <v>62</v>
      </c>
      <c r="H10" s="11">
        <v>8</v>
      </c>
      <c r="I10" s="11">
        <f>IFERROR(INDEX('Training Data'!$B$4:$B$21,MATCH(H10,'Training Data'!$A$4:$A$21,0)),IFERROR(INDEX('Test Data'!$B$4:$B$9,MATCH(H10,'Test Data'!$A$4:$A$9,0)),INDEX('Extension Data'!$B$4:$B$39,MATCH(H10,'Extension Data'!$A$4:$A$39,0))))</f>
        <v>26.28</v>
      </c>
      <c r="J10" s="11">
        <f>'Quadratic Fit'!$J$3+'Quadratic Fit'!$I$3*H10+'Quadratic Fit'!$H$3*H10^2</f>
        <v>26.702728277563054</v>
      </c>
      <c r="K10" s="11">
        <f>'Exponential Fit'!$I$3*'Exponential Fit'!$H$3^H10</f>
        <v>27.585078448421463</v>
      </c>
      <c r="L10" s="11">
        <f>'Sinusoidal Fit'!$K$3+'Sinusoidal Fit'!$J$3*H10+'Sinusoidal Fit'!$I$3*SIN(2*PI()*H10/'Sinusoidal Fit'!$B$2)+'Sinusoidal Fit'!$H$3*COS(2*PI()*H10/'Sinusoidal Fit'!$B$2)</f>
        <v>25.249090277307914</v>
      </c>
    </row>
    <row r="11" spans="1:12" x14ac:dyDescent="0.35">
      <c r="A11" s="4" t="s">
        <v>63</v>
      </c>
      <c r="H11" s="11">
        <v>9</v>
      </c>
      <c r="I11" s="11">
        <f>IFERROR(INDEX('Training Data'!$B$4:$B$21,MATCH(H11,'Training Data'!$A$4:$A$21,0)),IFERROR(INDEX('Test Data'!$B$4:$B$9,MATCH(H11,'Test Data'!$A$4:$A$9,0)),INDEX('Extension Data'!$B$4:$B$39,MATCH(H11,'Extension Data'!$A$4:$A$39,0))))</f>
        <v>27.21</v>
      </c>
      <c r="J11" s="11">
        <f>'Quadratic Fit'!$J$3+'Quadratic Fit'!$I$3*H11+'Quadratic Fit'!$H$3*H11^2</f>
        <v>28.441443702298947</v>
      </c>
      <c r="K11" s="11">
        <f>'Exponential Fit'!$I$3*'Exponential Fit'!$H$3^H11</f>
        <v>29.361003260935465</v>
      </c>
      <c r="L11" s="11">
        <f>'Sinusoidal Fit'!$K$3+'Sinusoidal Fit'!$J$3*H11+'Sinusoidal Fit'!$I$3*SIN(2*PI()*H11/'Sinusoidal Fit'!$B$2)+'Sinusoidal Fit'!$H$3*COS(2*PI()*H11/'Sinusoidal Fit'!$B$2)</f>
        <v>27.104505788593034</v>
      </c>
    </row>
    <row r="12" spans="1:12" x14ac:dyDescent="0.35">
      <c r="A12" s="4" t="s">
        <v>64</v>
      </c>
      <c r="H12" s="11">
        <v>10</v>
      </c>
      <c r="I12" s="11">
        <f>IFERROR(INDEX('Training Data'!$B$4:$B$21,MATCH(H12,'Training Data'!$A$4:$A$21,0)),IFERROR(INDEX('Test Data'!$B$4:$B$9,MATCH(H12,'Test Data'!$A$4:$A$9,0)),INDEX('Extension Data'!$B$4:$B$39,MATCH(H12,'Extension Data'!$A$4:$A$39,0))))</f>
        <v>35.549999999999997</v>
      </c>
      <c r="J12" s="11">
        <f>'Quadratic Fit'!$J$3+'Quadratic Fit'!$I$3*H12+'Quadratic Fit'!$H$3*H12^2</f>
        <v>30.357889982001367</v>
      </c>
      <c r="K12" s="11">
        <f>'Exponential Fit'!$I$3*'Exponential Fit'!$H$3^H12</f>
        <v>31.251261949483212</v>
      </c>
      <c r="L12" s="11">
        <f>'Sinusoidal Fit'!$K$3+'Sinusoidal Fit'!$J$3*H12+'Sinusoidal Fit'!$I$3*SIN(2*PI()*H12/'Sinusoidal Fit'!$B$2)+'Sinusoidal Fit'!$H$3*COS(2*PI()*H12/'Sinusoidal Fit'!$B$2)</f>
        <v>29.256958267281533</v>
      </c>
    </row>
    <row r="13" spans="1:12" x14ac:dyDescent="0.35">
      <c r="H13" s="11">
        <v>11</v>
      </c>
      <c r="I13" s="11">
        <f>IFERROR(INDEX('Training Data'!$B$4:$B$21,MATCH(H13,'Training Data'!$A$4:$A$21,0)),IFERROR(INDEX('Test Data'!$B$4:$B$9,MATCH(H13,'Test Data'!$A$4:$A$9,0)),INDEX('Extension Data'!$B$4:$B$39,MATCH(H13,'Extension Data'!$A$4:$A$39,0))))</f>
        <v>33.18</v>
      </c>
      <c r="J13" s="11">
        <f>'Quadratic Fit'!$J$3+'Quadratic Fit'!$I$3*H13+'Quadratic Fit'!$H$3*H13^2</f>
        <v>32.452067116670314</v>
      </c>
      <c r="K13" s="11">
        <f>'Exponential Fit'!$I$3*'Exponential Fit'!$H$3^H13</f>
        <v>33.263215318484342</v>
      </c>
      <c r="L13" s="11">
        <f>'Sinusoidal Fit'!$K$3+'Sinusoidal Fit'!$J$3*H13+'Sinusoidal Fit'!$I$3*SIN(2*PI()*H13/'Sinusoidal Fit'!$B$2)+'Sinusoidal Fit'!$H$3*COS(2*PI()*H13/'Sinusoidal Fit'!$B$2)</f>
        <v>31.681837567709717</v>
      </c>
    </row>
    <row r="14" spans="1:12" x14ac:dyDescent="0.35">
      <c r="H14" s="11">
        <v>12</v>
      </c>
      <c r="I14" s="11">
        <f>IFERROR(INDEX('Training Data'!$B$4:$B$21,MATCH(H14,'Training Data'!$A$4:$A$21,0)),IFERROR(INDEX('Test Data'!$B$4:$B$9,MATCH(H14,'Test Data'!$A$4:$A$9,0)),INDEX('Extension Data'!$B$4:$B$39,MATCH(H14,'Extension Data'!$A$4:$A$39,0))))</f>
        <v>34.74</v>
      </c>
      <c r="J14" s="11">
        <f>'Quadratic Fit'!$J$3+'Quadratic Fit'!$I$3*H14+'Quadratic Fit'!$H$3*H14^2</f>
        <v>34.723975106305787</v>
      </c>
      <c r="K14" s="11">
        <f>'Exponential Fit'!$I$3*'Exponential Fit'!$H$3^H14</f>
        <v>35.404698060269787</v>
      </c>
      <c r="L14" s="11">
        <f>'Sinusoidal Fit'!$K$3+'Sinusoidal Fit'!$J$3*H14+'Sinusoidal Fit'!$I$3*SIN(2*PI()*H14/'Sinusoidal Fit'!$B$2)+'Sinusoidal Fit'!$H$3*COS(2*PI()*H14/'Sinusoidal Fit'!$B$2)</f>
        <v>34.351548778945961</v>
      </c>
    </row>
    <row r="15" spans="1:12" x14ac:dyDescent="0.35">
      <c r="H15" s="11">
        <v>13</v>
      </c>
      <c r="I15" s="11">
        <f>IFERROR(INDEX('Training Data'!$B$4:$B$21,MATCH(H15,'Training Data'!$A$4:$A$21,0)),IFERROR(INDEX('Test Data'!$B$4:$B$9,MATCH(H15,'Test Data'!$A$4:$A$9,0)),INDEX('Extension Data'!$B$4:$B$39,MATCH(H15,'Extension Data'!$A$4:$A$39,0))))</f>
        <v>37.47</v>
      </c>
      <c r="J15" s="11">
        <f>'Quadratic Fit'!$J$3+'Quadratic Fit'!$I$3*H15+'Quadratic Fit'!$H$3*H15^2</f>
        <v>37.173613950907779</v>
      </c>
      <c r="K15" s="11">
        <f>'Exponential Fit'!$I$3*'Exponential Fit'!$H$3^H15</f>
        <v>37.684049263941922</v>
      </c>
      <c r="L15" s="11">
        <f>'Sinusoidal Fit'!$K$3+'Sinusoidal Fit'!$J$3*H15+'Sinusoidal Fit'!$I$3*SIN(2*PI()*H15/'Sinusoidal Fit'!$B$2)+'Sinusoidal Fit'!$H$3*COS(2*PI()*H15/'Sinusoidal Fit'!$B$2)</f>
        <v>37.235814560409416</v>
      </c>
    </row>
    <row r="16" spans="1:12" x14ac:dyDescent="0.35">
      <c r="H16" s="11">
        <v>14</v>
      </c>
      <c r="I16" s="11">
        <f>IFERROR(INDEX('Training Data'!$B$4:$B$21,MATCH(H16,'Training Data'!$A$4:$A$21,0)),IFERROR(INDEX('Test Data'!$B$4:$B$9,MATCH(H16,'Test Data'!$A$4:$A$9,0)),INDEX('Extension Data'!$B$4:$B$39,MATCH(H16,'Extension Data'!$A$4:$A$39,0))))</f>
        <v>39.619999999999997</v>
      </c>
      <c r="J16" s="11">
        <f>'Quadratic Fit'!$J$3+'Quadratic Fit'!$I$3*H16+'Quadratic Fit'!$H$3*H16^2</f>
        <v>39.800983650476311</v>
      </c>
      <c r="K16" s="11">
        <f>'Exponential Fit'!$I$3*'Exponential Fit'!$H$3^H16</f>
        <v>40.110144888392249</v>
      </c>
      <c r="L16" s="11">
        <f>'Sinusoidal Fit'!$K$3+'Sinusoidal Fit'!$J$3*H16+'Sinusoidal Fit'!$I$3*SIN(2*PI()*H16/'Sinusoidal Fit'!$B$2)+'Sinusoidal Fit'!$H$3*COS(2*PI()*H16/'Sinusoidal Fit'!$B$2)</f>
        <v>40.302006866749409</v>
      </c>
    </row>
    <row r="17" spans="8:12" x14ac:dyDescent="0.35">
      <c r="H17" s="11">
        <v>15</v>
      </c>
      <c r="I17" s="11">
        <f>IFERROR(INDEX('Training Data'!$B$4:$B$21,MATCH(H17,'Training Data'!$A$4:$A$21,0)),IFERROR(INDEX('Test Data'!$B$4:$B$9,MATCH(H17,'Test Data'!$A$4:$A$9,0)),INDEX('Extension Data'!$B$4:$B$39,MATCH(H17,'Extension Data'!$A$4:$A$39,0))))</f>
        <v>41.88</v>
      </c>
      <c r="J17" s="11">
        <f>'Quadratic Fit'!$J$3+'Quadratic Fit'!$I$3*H17+'Quadratic Fit'!$H$3*H17^2</f>
        <v>42.606084205011356</v>
      </c>
      <c r="K17" s="11">
        <f>'Exponential Fit'!$I$3*'Exponential Fit'!$H$3^H17</f>
        <v>42.692432325929111</v>
      </c>
      <c r="L17" s="11">
        <f>'Sinusoidal Fit'!$K$3+'Sinusoidal Fit'!$J$3*H17+'Sinusoidal Fit'!$I$3*SIN(2*PI()*H17/'Sinusoidal Fit'!$B$2)+'Sinusoidal Fit'!$H$3*COS(2*PI()*H17/'Sinusoidal Fit'!$B$2)</f>
        <v>43.515504427538154</v>
      </c>
    </row>
    <row r="18" spans="8:12" x14ac:dyDescent="0.35">
      <c r="H18" s="11">
        <v>16</v>
      </c>
      <c r="I18" s="11">
        <f>IFERROR(INDEX('Training Data'!$B$4:$B$21,MATCH(H18,'Training Data'!$A$4:$A$21,0)),IFERROR(INDEX('Test Data'!$B$4:$B$9,MATCH(H18,'Test Data'!$A$4:$A$9,0)),INDEX('Extension Data'!$B$4:$B$39,MATCH(H18,'Extension Data'!$A$4:$A$39,0))))</f>
        <v>46.01</v>
      </c>
      <c r="J18" s="11">
        <f>'Quadratic Fit'!$J$3+'Quadratic Fit'!$I$3*H18+'Quadratic Fit'!$H$3*H18^2</f>
        <v>45.588915614512928</v>
      </c>
      <c r="K18" s="11">
        <f>'Exponential Fit'!$I$3*'Exponential Fit'!$H$3^H18</f>
        <v>45.440967191108406</v>
      </c>
      <c r="L18" s="11">
        <f>'Sinusoidal Fit'!$K$3+'Sinusoidal Fit'!$J$3*H18+'Sinusoidal Fit'!$I$3*SIN(2*PI()*H18/'Sinusoidal Fit'!$B$2)+'Sinusoidal Fit'!$H$3*COS(2*PI()*H18/'Sinusoidal Fit'!$B$2)</f>
        <v>46.840072065154516</v>
      </c>
    </row>
    <row r="19" spans="8:12" x14ac:dyDescent="0.35">
      <c r="H19" s="11">
        <v>17</v>
      </c>
      <c r="I19" s="11">
        <f>IFERROR(INDEX('Training Data'!$B$4:$B$21,MATCH(H19,'Training Data'!$A$4:$A$21,0)),IFERROR(INDEX('Test Data'!$B$4:$B$9,MATCH(H19,'Test Data'!$A$4:$A$9,0)),INDEX('Extension Data'!$B$4:$B$39,MATCH(H19,'Extension Data'!$A$4:$A$39,0))))</f>
        <v>50.64</v>
      </c>
      <c r="J19" s="11">
        <f>'Quadratic Fit'!$J$3+'Quadratic Fit'!$I$3*H19+'Quadratic Fit'!$H$3*H19^2</f>
        <v>48.749477878981033</v>
      </c>
      <c r="K19" s="11">
        <f>'Exponential Fit'!$I$3*'Exponential Fit'!$H$3^H19</f>
        <v>48.366452478025991</v>
      </c>
      <c r="L19" s="11">
        <f>'Sinusoidal Fit'!$K$3+'Sinusoidal Fit'!$J$3*H19+'Sinusoidal Fit'!$I$3*SIN(2*PI()*H19/'Sinusoidal Fit'!$B$2)+'Sinusoidal Fit'!$H$3*COS(2*PI()*H19/'Sinusoidal Fit'!$B$2)</f>
        <v>50.238257694972738</v>
      </c>
    </row>
    <row r="20" spans="8:12" x14ac:dyDescent="0.35">
      <c r="H20" s="11">
        <v>18</v>
      </c>
      <c r="I20" s="11">
        <f>IFERROR(INDEX('Training Data'!$B$4:$B$21,MATCH(H20,'Training Data'!$A$4:$A$21,0)),IFERROR(INDEX('Test Data'!$B$4:$B$9,MATCH(H20,'Test Data'!$A$4:$A$9,0)),INDEX('Extension Data'!$B$4:$B$39,MATCH(H20,'Extension Data'!$A$4:$A$39,0))))</f>
        <v>52.63</v>
      </c>
      <c r="J20" s="11">
        <f>'Quadratic Fit'!$J$3+'Quadratic Fit'!$I$3*H20+'Quadratic Fit'!$H$3*H20^2</f>
        <v>52.087770998415664</v>
      </c>
      <c r="K20" s="11">
        <f>'Exponential Fit'!$I$3*'Exponential Fit'!$H$3^H20</f>
        <v>51.480280238552837</v>
      </c>
      <c r="L20" s="11">
        <f>'Sinusoidal Fit'!$K$3+'Sinusoidal Fit'!$J$3*H20+'Sinusoidal Fit'!$I$3*SIN(2*PI()*H20/'Sinusoidal Fit'!$B$2)+'Sinusoidal Fit'!$H$3*COS(2*PI()*H20/'Sinusoidal Fit'!$B$2)</f>
        <v>53.671802658238931</v>
      </c>
    </row>
    <row r="21" spans="8:12" x14ac:dyDescent="0.35">
      <c r="H21" s="11">
        <v>19</v>
      </c>
      <c r="I21" s="11">
        <f>IFERROR(INDEX('Training Data'!$B$4:$B$21,MATCH(H21,'Training Data'!$A$4:$A$21,0)),IFERROR(INDEX('Test Data'!$B$4:$B$9,MATCH(H21,'Test Data'!$A$4:$A$9,0)),INDEX('Extension Data'!$B$4:$B$39,MATCH(H21,'Extension Data'!$A$4:$A$39,0))))</f>
        <v>58.03</v>
      </c>
      <c r="J21" s="11">
        <f>'Quadratic Fit'!$J$3+'Quadratic Fit'!$I$3*H21+'Quadratic Fit'!$H$3*H21^2</f>
        <v>55.603794972816814</v>
      </c>
      <c r="K21" s="11">
        <f>'Exponential Fit'!$I$3*'Exponential Fit'!$H$3^H21</f>
        <v>54.794575943811282</v>
      </c>
      <c r="L21" s="11">
        <f>'Sinusoidal Fit'!$K$3+'Sinusoidal Fit'!$J$3*H21+'Sinusoidal Fit'!$I$3*SIN(2*PI()*H21/'Sinusoidal Fit'!$B$2)+'Sinusoidal Fit'!$H$3*COS(2*PI()*H21/'Sinusoidal Fit'!$B$2)</f>
        <v>57.102060891942514</v>
      </c>
    </row>
    <row r="22" spans="8:12" x14ac:dyDescent="0.35">
      <c r="H22" s="11">
        <v>20</v>
      </c>
      <c r="I22" s="11">
        <f>IFERROR(INDEX('Training Data'!$B$4:$B$21,MATCH(H22,'Training Data'!$A$4:$A$21,0)),IFERROR(INDEX('Test Data'!$B$4:$B$9,MATCH(H22,'Test Data'!$A$4:$A$9,0)),INDEX('Extension Data'!$B$4:$B$39,MATCH(H22,'Extension Data'!$A$4:$A$39,0))))</f>
        <v>59.31</v>
      </c>
      <c r="J22" s="11">
        <f>'Quadratic Fit'!$J$3+'Quadratic Fit'!$I$3*H22+'Quadratic Fit'!$H$3*H22^2</f>
        <v>59.297549802184491</v>
      </c>
      <c r="K22" s="11">
        <f>'Exponential Fit'!$I$3*'Exponential Fit'!$H$3^H22</f>
        <v>58.322245701638842</v>
      </c>
      <c r="L22" s="11">
        <f>'Sinusoidal Fit'!$K$3+'Sinusoidal Fit'!$J$3*H22+'Sinusoidal Fit'!$I$3*SIN(2*PI()*H22/'Sinusoidal Fit'!$B$2)+'Sinusoidal Fit'!$H$3*COS(2*PI()*H22/'Sinusoidal Fit'!$B$2)</f>
        <v>60.49042234316984</v>
      </c>
    </row>
    <row r="23" spans="8:12" x14ac:dyDescent="0.35">
      <c r="H23" s="11">
        <v>21</v>
      </c>
      <c r="I23" s="11">
        <f>IFERROR(INDEX('Training Data'!$B$4:$B$21,MATCH(H23,'Training Data'!$A$4:$A$21,0)),IFERROR(INDEX('Test Data'!$B$4:$B$9,MATCH(H23,'Test Data'!$A$4:$A$9,0)),INDEX('Extension Data'!$B$4:$B$39,MATCH(H23,'Extension Data'!$A$4:$A$39,0))))</f>
        <v>63.08</v>
      </c>
      <c r="J23" s="11">
        <f>'Quadratic Fit'!$J$3+'Quadratic Fit'!$I$3*H23+'Quadratic Fit'!$H$3*H23^2</f>
        <v>63.169035486518695</v>
      </c>
      <c r="K23" s="11">
        <f>'Exponential Fit'!$I$3*'Exponential Fit'!$H$3^H23</f>
        <v>62.077026513908237</v>
      </c>
      <c r="L23" s="11">
        <f>'Sinusoidal Fit'!$K$3+'Sinusoidal Fit'!$J$3*H23+'Sinusoidal Fit'!$I$3*SIN(2*PI()*H23/'Sinusoidal Fit'!$B$2)+'Sinusoidal Fit'!$H$3*COS(2*PI()*H23/'Sinusoidal Fit'!$B$2)</f>
        <v>63.798735988923482</v>
      </c>
    </row>
    <row r="24" spans="8:12" x14ac:dyDescent="0.35">
      <c r="H24" s="11">
        <v>22</v>
      </c>
      <c r="I24" s="11">
        <f>IFERROR(INDEX('Training Data'!$B$4:$B$21,MATCH(H24,'Training Data'!$A$4:$A$21,0)),IFERROR(INDEX('Test Data'!$B$4:$B$9,MATCH(H24,'Test Data'!$A$4:$A$9,0)),INDEX('Extension Data'!$B$4:$B$39,MATCH(H24,'Extension Data'!$A$4:$A$39,0))))</f>
        <v>69.28</v>
      </c>
      <c r="J24" s="11">
        <f>'Quadratic Fit'!$J$3+'Quadratic Fit'!$I$3*H24+'Quadratic Fit'!$H$3*H24^2</f>
        <v>67.218252025819424</v>
      </c>
      <c r="K24" s="11">
        <f>'Exponential Fit'!$I$3*'Exponential Fit'!$H$3^H24</f>
        <v>66.073539769408796</v>
      </c>
      <c r="L24" s="11">
        <f>'Sinusoidal Fit'!$K$3+'Sinusoidal Fit'!$J$3*H24+'Sinusoidal Fit'!$I$3*SIN(2*PI()*H24/'Sinusoidal Fit'!$B$2)+'Sinusoidal Fit'!$H$3*COS(2*PI()*H24/'Sinusoidal Fit'!$B$2)</f>
        <v>66.989727826713889</v>
      </c>
    </row>
    <row r="25" spans="8:12" x14ac:dyDescent="0.35">
      <c r="H25" s="11">
        <v>23</v>
      </c>
      <c r="I25" s="11">
        <f>IFERROR(INDEX('Training Data'!$B$4:$B$21,MATCH(H25,'Training Data'!$A$4:$A$21,0)),IFERROR(INDEX('Test Data'!$B$4:$B$9,MATCH(H25,'Test Data'!$A$4:$A$9,0)),INDEX('Extension Data'!$B$4:$B$39,MATCH(H25,'Extension Data'!$A$4:$A$39,0))))</f>
        <v>70.78</v>
      </c>
      <c r="J25" s="11">
        <f>'Quadratic Fit'!$J$3+'Quadratic Fit'!$I$3*H25+'Quadratic Fit'!$H$3*H25^2</f>
        <v>71.445199420086695</v>
      </c>
      <c r="K25" s="11">
        <f>'Exponential Fit'!$I$3*'Exponential Fit'!$H$3^H25</f>
        <v>70.32734818059491</v>
      </c>
      <c r="L25" s="11">
        <f>'Sinusoidal Fit'!$K$3+'Sinusoidal Fit'!$J$3*H25+'Sinusoidal Fit'!$I$3*SIN(2*PI()*H25/'Sinusoidal Fit'!$B$2)+'Sinusoidal Fit'!$H$3*COS(2*PI()*H25/'Sinusoidal Fit'!$B$2)</f>
        <v>70.027409256330742</v>
      </c>
    </row>
    <row r="26" spans="8:12" x14ac:dyDescent="0.35">
      <c r="H26" s="11">
        <v>24</v>
      </c>
      <c r="I26" s="11">
        <f>IFERROR(INDEX('Training Data'!$B$4:$B$21,MATCH(H26,'Training Data'!$A$4:$A$21,0)),IFERROR(INDEX('Test Data'!$B$4:$B$9,MATCH(H26,'Test Data'!$A$4:$A$9,0)),INDEX('Extension Data'!$B$4:$B$39,MATCH(H26,'Extension Data'!$A$4:$A$39,0))))</f>
        <v>72.09</v>
      </c>
      <c r="J26" s="11">
        <f>'Quadratic Fit'!$J$3+'Quadratic Fit'!$I$3*H26+'Quadratic Fit'!$H$3*H26^2</f>
        <v>75.849877669320477</v>
      </c>
      <c r="K26" s="11">
        <f>'Exponential Fit'!$I$3*'Exponential Fit'!$H$3^H26</f>
        <v>74.855016385916869</v>
      </c>
      <c r="L26" s="11">
        <f>'Sinusoidal Fit'!$K$3+'Sinusoidal Fit'!$J$3*H26+'Sinusoidal Fit'!$I$3*SIN(2*PI()*H26/'Sinusoidal Fit'!$B$2)+'Sinusoidal Fit'!$H$3*COS(2*PI()*H26/'Sinusoidal Fit'!$B$2)</f>
        <v>72.877471378477878</v>
      </c>
    </row>
    <row r="27" spans="8:12" x14ac:dyDescent="0.35">
      <c r="H27" s="11">
        <v>25</v>
      </c>
      <c r="I27" s="11">
        <f>IFERROR(INDEX('Training Data'!$B$4:$B$21,MATCH(H27,'Training Data'!$A$4:$A$21,0)),IFERROR(INDEX('Test Data'!$B$4:$B$9,MATCH(H27,'Test Data'!$A$4:$A$9,0)),INDEX('Extension Data'!$B$4:$B$39,MATCH(H27,'Extension Data'!$A$4:$A$39,0))))</f>
        <v>75.959999999999994</v>
      </c>
      <c r="J27" s="11">
        <f>'Quadratic Fit'!$J$3+'Quadratic Fit'!$I$3*H27+'Quadratic Fit'!$H$3*H27^2</f>
        <v>80.432286773520786</v>
      </c>
      <c r="K27" s="11">
        <f>'Exponential Fit'!$I$3*'Exponential Fit'!$H$3^H27</f>
        <v>79.674175453724402</v>
      </c>
      <c r="L27" s="11">
        <f>'Sinusoidal Fit'!$K$3+'Sinusoidal Fit'!$J$3*H27+'Sinusoidal Fit'!$I$3*SIN(2*PI()*H27/'Sinusoidal Fit'!$B$2)+'Sinusoidal Fit'!$H$3*COS(2*PI()*H27/'Sinusoidal Fit'!$B$2)</f>
        <v>75.507660890253703</v>
      </c>
    </row>
    <row r="28" spans="8:12" x14ac:dyDescent="0.35">
      <c r="H28" s="11">
        <v>26</v>
      </c>
      <c r="I28" s="11">
        <f>IFERROR(INDEX('Training Data'!$B$4:$B$21,MATCH(H28,'Training Data'!$A$4:$A$21,0)),IFERROR(INDEX('Test Data'!$B$4:$B$9,MATCH(H28,'Test Data'!$A$4:$A$9,0)),INDEX('Extension Data'!$B$4:$B$39,MATCH(H28,'Extension Data'!$A$4:$A$39,0))))</f>
        <v>80.569999999999993</v>
      </c>
      <c r="J28" s="11">
        <f>'Quadratic Fit'!$J$3+'Quadratic Fit'!$I$3*H28+'Quadratic Fit'!$H$3*H28^2</f>
        <v>85.192426732687608</v>
      </c>
      <c r="K28" s="11">
        <f>'Exponential Fit'!$I$3*'Exponential Fit'!$H$3^H28</f>
        <v>84.803591538925346</v>
      </c>
      <c r="L28" s="11">
        <f>'Sinusoidal Fit'!$K$3+'Sinusoidal Fit'!$J$3*H28+'Sinusoidal Fit'!$I$3*SIN(2*PI()*H28/'Sinusoidal Fit'!$B$2)+'Sinusoidal Fit'!$H$3*COS(2*PI()*H28/'Sinusoidal Fit'!$B$2)</f>
        <v>77.888133459087115</v>
      </c>
    </row>
    <row r="29" spans="8:12" x14ac:dyDescent="0.35">
      <c r="H29" s="11">
        <v>27</v>
      </c>
      <c r="I29" s="11">
        <f>IFERROR(INDEX('Training Data'!$B$4:$B$21,MATCH(H29,'Training Data'!$A$4:$A$21,0)),IFERROR(INDEX('Test Data'!$B$4:$B$9,MATCH(H29,'Test Data'!$A$4:$A$9,0)),INDEX('Extension Data'!$B$4:$B$39,MATCH(H29,'Extension Data'!$A$4:$A$39,0))))</f>
        <v>86.49</v>
      </c>
      <c r="J29" s="11">
        <f>'Quadratic Fit'!$J$3+'Quadratic Fit'!$I$3*H29+'Quadratic Fit'!$H$3*H29^2</f>
        <v>90.130297546820984</v>
      </c>
      <c r="K29" s="11">
        <f>'Exponential Fit'!$I$3*'Exponential Fit'!$H$3^H29</f>
        <v>90.263238959753991</v>
      </c>
      <c r="L29" s="11">
        <f>'Sinusoidal Fit'!$K$3+'Sinusoidal Fit'!$J$3*H29+'Sinusoidal Fit'!$I$3*SIN(2*PI()*H29/'Sinusoidal Fit'!$B$2)+'Sinusoidal Fit'!$H$3*COS(2*PI()*H29/'Sinusoidal Fit'!$B$2)</f>
        <v>79.991780703490519</v>
      </c>
    </row>
    <row r="30" spans="8:12" x14ac:dyDescent="0.35">
      <c r="H30" s="11">
        <v>28</v>
      </c>
      <c r="I30" s="11">
        <f>IFERROR(INDEX('Training Data'!$B$4:$B$21,MATCH(H30,'Training Data'!$A$4:$A$21,0)),IFERROR(INDEX('Test Data'!$B$4:$B$9,MATCH(H30,'Test Data'!$A$4:$A$9,0)),INDEX('Extension Data'!$B$4:$B$39,MATCH(H30,'Extension Data'!$A$4:$A$39,0))))</f>
        <v>85.03</v>
      </c>
      <c r="J30" s="11">
        <f>'Quadratic Fit'!$J$3+'Quadratic Fit'!$I$3*H30+'Quadratic Fit'!$H$3*H30^2</f>
        <v>95.245899215920872</v>
      </c>
      <c r="K30" s="11">
        <f>'Exponential Fit'!$I$3*'Exponential Fit'!$H$3^H30</f>
        <v>96.074377979214745</v>
      </c>
      <c r="L30" s="11">
        <f>'Sinusoidal Fit'!$K$3+'Sinusoidal Fit'!$J$3*H30+'Sinusoidal Fit'!$I$3*SIN(2*PI()*H30/'Sinusoidal Fit'!$B$2)+'Sinusoidal Fit'!$H$3*COS(2*PI()*H30/'Sinusoidal Fit'!$B$2)</f>
        <v>81.79452719816021</v>
      </c>
    </row>
    <row r="31" spans="8:12" x14ac:dyDescent="0.35">
      <c r="H31" s="11">
        <v>29</v>
      </c>
      <c r="I31" s="11">
        <f>IFERROR(INDEX('Training Data'!$B$4:$B$21,MATCH(H31,'Training Data'!$A$4:$A$21,0)),IFERROR(INDEX('Test Data'!$B$4:$B$9,MATCH(H31,'Test Data'!$A$4:$A$9,0)),INDEX('Extension Data'!$B$4:$B$39,MATCH(H31,'Extension Data'!$A$4:$A$39,0))))</f>
        <v>87.94</v>
      </c>
      <c r="J31" s="11">
        <f>'Quadratic Fit'!$J$3+'Quadratic Fit'!$I$3*H31+'Quadratic Fit'!$H$3*H31^2</f>
        <v>100.53923173998727</v>
      </c>
      <c r="K31" s="11">
        <f>'Exponential Fit'!$I$3*'Exponential Fit'!$H$3^H31</f>
        <v>102.25963759408819</v>
      </c>
      <c r="L31" s="11">
        <f>'Sinusoidal Fit'!$K$3+'Sinusoidal Fit'!$J$3*H31+'Sinusoidal Fit'!$I$3*SIN(2*PI()*H31/'Sinusoidal Fit'!$B$2)+'Sinusoidal Fit'!$H$3*COS(2*PI()*H31/'Sinusoidal Fit'!$B$2)</f>
        <v>83.275594249374095</v>
      </c>
    </row>
    <row r="32" spans="8:12" x14ac:dyDescent="0.35">
      <c r="H32" s="11">
        <v>30</v>
      </c>
      <c r="I32" s="11">
        <f>IFERROR(INDEX('Training Data'!$B$4:$B$21,MATCH(H32,'Training Data'!$A$4:$A$21,0)),IFERROR(INDEX('Test Data'!$B$4:$B$9,MATCH(H32,'Test Data'!$A$4:$A$9,0)),INDEX('Extension Data'!$B$4:$B$39,MATCH(H32,'Extension Data'!$A$4:$A$39,0))))</f>
        <v>93.28</v>
      </c>
      <c r="J32" s="11">
        <f>'Quadratic Fit'!$J$3+'Quadratic Fit'!$I$3*H32+'Quadratic Fit'!$H$3*H32^2</f>
        <v>106.01029511902021</v>
      </c>
      <c r="K32" s="11">
        <f>'Exponential Fit'!$I$3*'Exponential Fit'!$H$3^H32</f>
        <v>108.84310365388556</v>
      </c>
      <c r="L32" s="11">
        <f>'Sinusoidal Fit'!$K$3+'Sinusoidal Fit'!$J$3*H32+'Sinusoidal Fit'!$I$3*SIN(2*PI()*H32/'Sinusoidal Fit'!$B$2)+'Sinusoidal Fit'!$H$3*COS(2*PI()*H32/'Sinusoidal Fit'!$B$2)</f>
        <v>84.417727550708307</v>
      </c>
    </row>
    <row r="33" spans="8:12" x14ac:dyDescent="0.35">
      <c r="H33" s="11">
        <v>31</v>
      </c>
      <c r="I33" s="11">
        <f>IFERROR(INDEX('Training Data'!$B$4:$B$21,MATCH(H33,'Training Data'!$A$4:$A$21,0)),IFERROR(INDEX('Test Data'!$B$4:$B$9,MATCH(H33,'Test Data'!$A$4:$A$9,0)),INDEX('Extension Data'!$B$4:$B$39,MATCH(H33,'Extension Data'!$A$4:$A$39,0))))</f>
        <v>91.87</v>
      </c>
      <c r="J33" s="11">
        <f>'Quadratic Fit'!$J$3+'Quadratic Fit'!$I$3*H33+'Quadratic Fit'!$H$3*H33^2</f>
        <v>111.65908935301968</v>
      </c>
      <c r="K33" s="11">
        <f>'Exponential Fit'!$I$3*'Exponential Fit'!$H$3^H33</f>
        <v>115.85041265289368</v>
      </c>
      <c r="L33" s="11">
        <f>'Sinusoidal Fit'!$K$3+'Sinusoidal Fit'!$J$3*H33+'Sinusoidal Fit'!$I$3*SIN(2*PI()*H33/'Sinusoidal Fit'!$B$2)+'Sinusoidal Fit'!$H$3*COS(2*PI()*H33/'Sinusoidal Fit'!$B$2)</f>
        <v>85.207386224829179</v>
      </c>
    </row>
    <row r="34" spans="8:12" x14ac:dyDescent="0.35">
      <c r="H34" s="11">
        <v>32</v>
      </c>
      <c r="I34" s="11">
        <f>IFERROR(INDEX('Training Data'!$B$4:$B$21,MATCH(H34,'Training Data'!$A$4:$A$21,0)),IFERROR(INDEX('Test Data'!$B$4:$B$9,MATCH(H34,'Test Data'!$A$4:$A$9,0)),INDEX('Extension Data'!$B$4:$B$39,MATCH(H34,'Extension Data'!$A$4:$A$39,0))))</f>
        <v>95.55</v>
      </c>
      <c r="J34" s="11">
        <f>'Quadratic Fit'!$J$3+'Quadratic Fit'!$I$3*H34+'Quadratic Fit'!$H$3*H34^2</f>
        <v>117.48561444198567</v>
      </c>
      <c r="K34" s="11">
        <f>'Exponential Fit'!$I$3*'Exponential Fit'!$H$3^H34</f>
        <v>123.30885156054282</v>
      </c>
      <c r="L34" s="11">
        <f>'Sinusoidal Fit'!$K$3+'Sinusoidal Fit'!$J$3*H34+'Sinusoidal Fit'!$I$3*SIN(2*PI()*H34/'Sinusoidal Fit'!$B$2)+'Sinusoidal Fit'!$H$3*COS(2*PI()*H34/'Sinusoidal Fit'!$B$2)</f>
        <v>85.634891180178769</v>
      </c>
    </row>
    <row r="35" spans="8:12" x14ac:dyDescent="0.35">
      <c r="H35" s="11">
        <v>33</v>
      </c>
      <c r="I35" s="11">
        <f>IFERROR(INDEX('Training Data'!$B$4:$B$21,MATCH(H35,'Training Data'!$A$4:$A$21,0)),IFERROR(INDEX('Test Data'!$B$4:$B$9,MATCH(H35,'Test Data'!$A$4:$A$9,0)),INDEX('Extension Data'!$B$4:$B$39,MATCH(H35,'Extension Data'!$A$4:$A$39,0))))</f>
        <v>100.38</v>
      </c>
      <c r="J35" s="11">
        <f>'Quadratic Fit'!$J$3+'Quadratic Fit'!$I$3*H35+'Quadratic Fit'!$H$3*H35^2</f>
        <v>123.48987038591819</v>
      </c>
      <c r="K35" s="11">
        <f>'Exponential Fit'!$I$3*'Exponential Fit'!$H$3^H35</f>
        <v>131.24746407884456</v>
      </c>
      <c r="L35" s="11">
        <f>'Sinusoidal Fit'!$K$3+'Sinusoidal Fit'!$J$3*H35+'Sinusoidal Fit'!$I$3*SIN(2*PI()*H35/'Sinusoidal Fit'!$B$2)+'Sinusoidal Fit'!$H$3*COS(2*PI()*H35/'Sinusoidal Fit'!$B$2)</f>
        <v>85.694531157127571</v>
      </c>
    </row>
    <row r="36" spans="8:12" x14ac:dyDescent="0.35">
      <c r="H36" s="11">
        <v>34</v>
      </c>
      <c r="I36" s="11">
        <f>IFERROR(INDEX('Training Data'!$B$4:$B$21,MATCH(H36,'Training Data'!$A$4:$A$21,0)),IFERROR(INDEX('Test Data'!$B$4:$B$9,MATCH(H36,'Test Data'!$A$4:$A$9,0)),INDEX('Extension Data'!$B$4:$B$39,MATCH(H36,'Extension Data'!$A$4:$A$39,0))))</f>
        <v>101.82</v>
      </c>
      <c r="J36" s="11">
        <f>'Quadratic Fit'!$J$3+'Quadratic Fit'!$I$3*H36+'Quadratic Fit'!$H$3*H36^2</f>
        <v>129.67185718481724</v>
      </c>
      <c r="K36" s="11">
        <f>'Exponential Fit'!$I$3*'Exponential Fit'!$H$3^H36</f>
        <v>139.6971637406738</v>
      </c>
      <c r="L36" s="11">
        <f>'Sinusoidal Fit'!$K$3+'Sinusoidal Fit'!$J$3*H36+'Sinusoidal Fit'!$I$3*SIN(2*PI()*H36/'Sinusoidal Fit'!$B$2)+'Sinusoidal Fit'!$H$3*COS(2*PI()*H36/'Sinusoidal Fit'!$B$2)</f>
        <v>85.384625301730125</v>
      </c>
    </row>
    <row r="37" spans="8:12" x14ac:dyDescent="0.35">
      <c r="H37" s="11">
        <v>35</v>
      </c>
      <c r="I37" s="11">
        <f>IFERROR(INDEX('Training Data'!$B$4:$B$21,MATCH(H37,'Training Data'!$A$4:$A$21,0)),IFERROR(INDEX('Test Data'!$B$4:$B$9,MATCH(H37,'Test Data'!$A$4:$A$9,0)),INDEX('Extension Data'!$B$4:$B$39,MATCH(H37,'Extension Data'!$A$4:$A$39,0))))</f>
        <v>102.65</v>
      </c>
      <c r="J37" s="11">
        <f>'Quadratic Fit'!$J$3+'Quadratic Fit'!$I$3*H37+'Quadratic Fit'!$H$3*H37^2</f>
        <v>136.03157483868281</v>
      </c>
      <c r="K37" s="11">
        <f>'Exponential Fit'!$I$3*'Exponential Fit'!$H$3^H37</f>
        <v>148.69085428930779</v>
      </c>
      <c r="L37" s="11">
        <f>'Sinusoidal Fit'!$K$3+'Sinusoidal Fit'!$J$3*H37+'Sinusoidal Fit'!$I$3*SIN(2*PI()*H37/'Sinusoidal Fit'!$B$2)+'Sinusoidal Fit'!$H$3*COS(2*PI()*H37/'Sinusoidal Fit'!$B$2)</f>
        <v>84.707541581512601</v>
      </c>
    </row>
    <row r="38" spans="8:12" x14ac:dyDescent="0.35">
      <c r="H38" s="11">
        <v>36</v>
      </c>
      <c r="I38" s="11">
        <f>IFERROR(INDEX('Training Data'!$B$4:$B$21,MATCH(H38,'Training Data'!$A$4:$A$21,0)),IFERROR(INDEX('Test Data'!$B$4:$B$9,MATCH(H38,'Test Data'!$A$4:$A$9,0)),INDEX('Extension Data'!$B$4:$B$39,MATCH(H38,'Extension Data'!$A$4:$A$39,0))))</f>
        <v>105.71</v>
      </c>
      <c r="J38" s="11">
        <f>'Quadratic Fit'!$J$3+'Quadratic Fit'!$I$3*H38+'Quadratic Fit'!$H$3*H38^2</f>
        <v>142.5690233475149</v>
      </c>
      <c r="K38" s="11">
        <f>'Exponential Fit'!$I$3*'Exponential Fit'!$H$3^H38</f>
        <v>158.26355780798841</v>
      </c>
      <c r="L38" s="11">
        <f>'Sinusoidal Fit'!$K$3+'Sinusoidal Fit'!$J$3*H38+'Sinusoidal Fit'!$I$3*SIN(2*PI()*H38/'Sinusoidal Fit'!$B$2)+'Sinusoidal Fit'!$H$3*COS(2*PI()*H38/'Sinusoidal Fit'!$B$2)</f>
        <v>83.669670841525061</v>
      </c>
    </row>
    <row r="39" spans="8:12" x14ac:dyDescent="0.35">
      <c r="H39" s="11">
        <v>37</v>
      </c>
      <c r="I39" s="11">
        <f>IFERROR(INDEX('Training Data'!$B$4:$B$21,MATCH(H39,'Training Data'!$A$4:$A$21,0)),IFERROR(INDEX('Test Data'!$B$4:$B$9,MATCH(H39,'Test Data'!$A$4:$A$9,0)),INDEX('Extension Data'!$B$4:$B$39,MATCH(H39,'Extension Data'!$A$4:$A$39,0))))</f>
        <v>99.2</v>
      </c>
      <c r="J39" s="11">
        <f>'Quadratic Fit'!$J$3+'Quadratic Fit'!$I$3*H39+'Quadratic Fit'!$H$3*H39^2</f>
        <v>149.28420271131353</v>
      </c>
      <c r="K39" s="11">
        <f>'Exponential Fit'!$I$3*'Exponential Fit'!$H$3^H39</f>
        <v>168.45255109845468</v>
      </c>
      <c r="L39" s="11">
        <f>'Sinusoidal Fit'!$K$3+'Sinusoidal Fit'!$J$3*H39+'Sinusoidal Fit'!$I$3*SIN(2*PI()*H39/'Sinusoidal Fit'!$B$2)+'Sinusoidal Fit'!$H$3*COS(2*PI()*H39/'Sinusoidal Fit'!$B$2)</f>
        <v>82.28135678490564</v>
      </c>
    </row>
    <row r="40" spans="8:12" x14ac:dyDescent="0.35">
      <c r="H40" s="11">
        <v>38</v>
      </c>
      <c r="I40" s="11">
        <f>IFERROR(INDEX('Training Data'!$B$4:$B$21,MATCH(H40,'Training Data'!$A$4:$A$21,0)),IFERROR(INDEX('Test Data'!$B$4:$B$9,MATCH(H40,'Test Data'!$A$4:$A$9,0)),INDEX('Extension Data'!$B$4:$B$39,MATCH(H40,'Extension Data'!$A$4:$A$39,0))))</f>
        <v>109.5</v>
      </c>
      <c r="J40" s="11">
        <f>'Quadratic Fit'!$J$3+'Quadratic Fit'!$I$3*H40+'Quadratic Fit'!$H$3*H40^2</f>
        <v>156.17711293007866</v>
      </c>
      <c r="K40" s="11">
        <f>'Exponential Fit'!$I$3*'Exponential Fit'!$H$3^H40</f>
        <v>179.29751083951163</v>
      </c>
      <c r="L40" s="11">
        <f>'Sinusoidal Fit'!$K$3+'Sinusoidal Fit'!$J$3*H40+'Sinusoidal Fit'!$I$3*SIN(2*PI()*H40/'Sinusoidal Fit'!$B$2)+'Sinusoidal Fit'!$H$3*COS(2*PI()*H40/'Sinusoidal Fit'!$B$2)</f>
        <v>80.556782645104562</v>
      </c>
    </row>
    <row r="41" spans="8:12" x14ac:dyDescent="0.35">
      <c r="H41" s="11">
        <v>39</v>
      </c>
      <c r="I41" s="11">
        <f>IFERROR(INDEX('Training Data'!$B$4:$B$21,MATCH(H41,'Training Data'!$A$4:$A$21,0)),IFERROR(INDEX('Test Data'!$B$4:$B$9,MATCH(H41,'Test Data'!$A$4:$A$9,0)),INDEX('Extension Data'!$B$4:$B$39,MATCH(H41,'Extension Data'!$A$4:$A$39,0))))</f>
        <v>106.04</v>
      </c>
      <c r="J41" s="11">
        <f>'Quadratic Fit'!$J$3+'Quadratic Fit'!$I$3*H41+'Quadratic Fit'!$H$3*H41^2</f>
        <v>163.24775400381034</v>
      </c>
      <c r="K41" s="11">
        <f>'Exponential Fit'!$I$3*'Exponential Fit'!$H$3^H41</f>
        <v>190.84066809089543</v>
      </c>
      <c r="L41" s="11">
        <f>'Sinusoidal Fit'!$K$3+'Sinusoidal Fit'!$J$3*H41+'Sinusoidal Fit'!$I$3*SIN(2*PI()*H41/'Sinusoidal Fit'!$B$2)+'Sinusoidal Fit'!$H$3*COS(2*PI()*H41/'Sinusoidal Fit'!$B$2)</f>
        <v>78.513815791410252</v>
      </c>
    </row>
    <row r="42" spans="8:12" x14ac:dyDescent="0.35">
      <c r="H42" s="11">
        <v>40</v>
      </c>
      <c r="I42" s="11">
        <f>IFERROR(INDEX('Training Data'!$B$4:$B$21,MATCH(H42,'Training Data'!$A$4:$A$21,0)),IFERROR(INDEX('Test Data'!$B$4:$B$9,MATCH(H42,'Test Data'!$A$4:$A$9,0)),INDEX('Extension Data'!$B$4:$B$39,MATCH(H42,'Extension Data'!$A$4:$A$39,0))))</f>
        <v>105.34</v>
      </c>
      <c r="J42" s="11">
        <f>'Quadratic Fit'!$J$3+'Quadratic Fit'!$I$3*H42+'Quadratic Fit'!$H$3*H42^2</f>
        <v>170.49612593250853</v>
      </c>
      <c r="K42" s="11">
        <f>'Exponential Fit'!$I$3*'Exponential Fit'!$H$3^H42</f>
        <v>203.12697274408248</v>
      </c>
      <c r="L42" s="11">
        <f>'Sinusoidal Fit'!$K$3+'Sinusoidal Fit'!$J$3*H42+'Sinusoidal Fit'!$I$3*SIN(2*PI()*H42/'Sinusoidal Fit'!$B$2)+'Sinusoidal Fit'!$H$3*COS(2*PI()*H42/'Sinusoidal Fit'!$B$2)</f>
        <v>76.173811970312585</v>
      </c>
    </row>
    <row r="43" spans="8:12" x14ac:dyDescent="0.35">
      <c r="H43" s="11">
        <v>41</v>
      </c>
      <c r="I43" s="11">
        <f>IFERROR(INDEX('Training Data'!$B$4:$B$21,MATCH(H43,'Training Data'!$A$4:$A$21,0)),IFERROR(INDEX('Test Data'!$B$4:$B$9,MATCH(H43,'Test Data'!$A$4:$A$9,0)),INDEX('Extension Data'!$B$4:$B$39,MATCH(H43,'Extension Data'!$A$4:$A$39,0))))</f>
        <v>110.89</v>
      </c>
      <c r="J43" s="11">
        <f>'Quadratic Fit'!$J$3+'Quadratic Fit'!$I$3*H43+'Quadratic Fit'!$H$3*H43^2</f>
        <v>177.92222871617327</v>
      </c>
      <c r="K43" s="11">
        <f>'Exponential Fit'!$I$3*'Exponential Fit'!$H$3^H43</f>
        <v>216.20426856042678</v>
      </c>
      <c r="L43" s="11">
        <f>'Sinusoidal Fit'!$K$3+'Sinusoidal Fit'!$J$3*H43+'Sinusoidal Fit'!$I$3*SIN(2*PI()*H43/'Sinusoidal Fit'!$B$2)+'Sinusoidal Fit'!$H$3*COS(2*PI()*H43/'Sinusoidal Fit'!$B$2)</f>
        <v>73.561381327475218</v>
      </c>
    </row>
    <row r="44" spans="8:12" x14ac:dyDescent="0.35">
      <c r="H44" s="11">
        <v>42</v>
      </c>
      <c r="I44" s="11">
        <f>IFERROR(INDEX('Training Data'!$B$4:$B$21,MATCH(H44,'Training Data'!$A$4:$A$21,0)),IFERROR(INDEX('Test Data'!$B$4:$B$9,MATCH(H44,'Test Data'!$A$4:$A$9,0)),INDEX('Extension Data'!$B$4:$B$39,MATCH(H44,'Extension Data'!$A$4:$A$39,0))))</f>
        <v>112.67</v>
      </c>
      <c r="J44" s="11">
        <f>'Quadratic Fit'!$J$3+'Quadratic Fit'!$I$3*H44+'Quadratic Fit'!$H$3*H44^2</f>
        <v>185.52606235480451</v>
      </c>
      <c r="K44" s="11">
        <f>'Exponential Fit'!$I$3*'Exponential Fit'!$H$3^H44</f>
        <v>230.12347947823642</v>
      </c>
      <c r="L44" s="11">
        <f>'Sinusoidal Fit'!$K$3+'Sinusoidal Fit'!$J$3*H44+'Sinusoidal Fit'!$I$3*SIN(2*PI()*H44/'Sinusoidal Fit'!$B$2)+'Sinusoidal Fit'!$H$3*COS(2*PI()*H44/'Sinusoidal Fit'!$B$2)</f>
        <v>70.704118773829791</v>
      </c>
    </row>
    <row r="45" spans="8:12" x14ac:dyDescent="0.35">
      <c r="H45" s="11">
        <v>43</v>
      </c>
      <c r="I45" s="11">
        <f>IFERROR(INDEX('Training Data'!$B$4:$B$21,MATCH(H45,'Training Data'!$A$4:$A$21,0)),IFERROR(INDEX('Test Data'!$B$4:$B$9,MATCH(H45,'Test Data'!$A$4:$A$9,0)),INDEX('Extension Data'!$B$4:$B$39,MATCH(H45,'Extension Data'!$A$4:$A$39,0))))</f>
        <v>110.43</v>
      </c>
      <c r="J45" s="11">
        <f>'Quadratic Fit'!$J$3+'Quadratic Fit'!$I$3*H45+'Quadratic Fit'!$H$3*H45^2</f>
        <v>193.30762684840229</v>
      </c>
      <c r="K45" s="11">
        <f>'Exponential Fit'!$I$3*'Exponential Fit'!$H$3^H45</f>
        <v>244.93880791428242</v>
      </c>
      <c r="L45" s="11">
        <f>'Sinusoidal Fit'!$K$3+'Sinusoidal Fit'!$J$3*H45+'Sinusoidal Fit'!$I$3*SIN(2*PI()*H45/'Sinusoidal Fit'!$B$2)+'Sinusoidal Fit'!$H$3*COS(2*PI()*H45/'Sinusoidal Fit'!$B$2)</f>
        <v>67.632301649957171</v>
      </c>
    </row>
    <row r="46" spans="8:12" x14ac:dyDescent="0.35">
      <c r="H46" s="11">
        <v>44</v>
      </c>
      <c r="I46" s="11">
        <f>IFERROR(INDEX('Training Data'!$B$4:$B$21,MATCH(H46,'Training Data'!$A$4:$A$21,0)),IFERROR(INDEX('Test Data'!$B$4:$B$9,MATCH(H46,'Test Data'!$A$4:$A$9,0)),INDEX('Extension Data'!$B$4:$B$39,MATCH(H46,'Extension Data'!$A$4:$A$39,0))))</f>
        <v>109.28</v>
      </c>
      <c r="J46" s="11">
        <f>'Quadratic Fit'!$J$3+'Quadratic Fit'!$I$3*H46+'Quadratic Fit'!$H$3*H46^2</f>
        <v>201.26692219696662</v>
      </c>
      <c r="K46" s="11">
        <f>'Exponential Fit'!$I$3*'Exponential Fit'!$H$3^H46</f>
        <v>260.70794583194044</v>
      </c>
      <c r="L46" s="11">
        <f>'Sinusoidal Fit'!$K$3+'Sinusoidal Fit'!$J$3*H46+'Sinusoidal Fit'!$I$3*SIN(2*PI()*H46/'Sinusoidal Fit'!$B$2)+'Sinusoidal Fit'!$H$3*COS(2*PI()*H46/'Sinusoidal Fit'!$B$2)</f>
        <v>64.378558001208006</v>
      </c>
    </row>
    <row r="47" spans="8:12" x14ac:dyDescent="0.35">
      <c r="H47" s="11">
        <v>45</v>
      </c>
      <c r="I47" s="11">
        <f>IFERROR(INDEX('Training Data'!$B$4:$B$21,MATCH(H47,'Training Data'!$A$4:$A$21,0)),IFERROR(INDEX('Test Data'!$B$4:$B$9,MATCH(H47,'Test Data'!$A$4:$A$9,0)),INDEX('Extension Data'!$B$4:$B$39,MATCH(H47,'Extension Data'!$A$4:$A$39,0))))</f>
        <v>112.41</v>
      </c>
      <c r="J47" s="11">
        <f>'Quadratic Fit'!$J$3+'Quadratic Fit'!$I$3*H47+'Quadratic Fit'!$H$3*H47^2</f>
        <v>209.40394840049743</v>
      </c>
      <c r="K47" s="11">
        <f>'Exponential Fit'!$I$3*'Exponential Fit'!$H$3^H47</f>
        <v>277.49229939788063</v>
      </c>
      <c r="L47" s="11">
        <f>'Sinusoidal Fit'!$K$3+'Sinusoidal Fit'!$J$3*H47+'Sinusoidal Fit'!$I$3*SIN(2*PI()*H47/'Sinusoidal Fit'!$B$2)+'Sinusoidal Fit'!$H$3*COS(2*PI()*H47/'Sinusoidal Fit'!$B$2)</f>
        <v>60.97750909801006</v>
      </c>
    </row>
    <row r="48" spans="8:12" x14ac:dyDescent="0.35">
      <c r="H48" s="11">
        <v>46</v>
      </c>
      <c r="I48" s="11">
        <f>IFERROR(INDEX('Training Data'!$B$4:$B$21,MATCH(H48,'Training Data'!$A$4:$A$21,0)),IFERROR(INDEX('Test Data'!$B$4:$B$9,MATCH(H48,'Test Data'!$A$4:$A$9,0)),INDEX('Extension Data'!$B$4:$B$39,MATCH(H48,'Extension Data'!$A$4:$A$39,0))))</f>
        <v>112.46</v>
      </c>
      <c r="J48" s="11">
        <f>'Quadratic Fit'!$J$3+'Quadratic Fit'!$I$3*H48+'Quadratic Fit'!$H$3*H48^2</f>
        <v>217.7187054589948</v>
      </c>
      <c r="K48" s="11">
        <f>'Exponential Fit'!$I$3*'Exponential Fit'!$H$3^H48</f>
        <v>295.35722810213304</v>
      </c>
      <c r="L48" s="11">
        <f>'Sinusoidal Fit'!$K$3+'Sinusoidal Fit'!$J$3*H48+'Sinusoidal Fit'!$I$3*SIN(2*PI()*H48/'Sinusoidal Fit'!$B$2)+'Sinusoidal Fit'!$H$3*COS(2*PI()*H48/'Sinusoidal Fit'!$B$2)</f>
        <v>57.465390117984519</v>
      </c>
    </row>
    <row r="49" spans="8:12" x14ac:dyDescent="0.35">
      <c r="H49" s="11">
        <v>47</v>
      </c>
      <c r="I49" s="11">
        <f>IFERROR(INDEX('Training Data'!$B$4:$B$21,MATCH(H49,'Training Data'!$A$4:$A$21,0)),IFERROR(INDEX('Test Data'!$B$4:$B$9,MATCH(H49,'Test Data'!$A$4:$A$9,0)),INDEX('Extension Data'!$B$4:$B$39,MATCH(H49,'Extension Data'!$A$4:$A$39,0))))</f>
        <v>116.44</v>
      </c>
      <c r="J49" s="11">
        <f>'Quadratic Fit'!$J$3+'Quadratic Fit'!$I$3*H49+'Quadratic Fit'!$H$3*H49^2</f>
        <v>226.21119337245867</v>
      </c>
      <c r="K49" s="11">
        <f>'Exponential Fit'!$I$3*'Exponential Fit'!$H$3^H49</f>
        <v>314.37229927268294</v>
      </c>
      <c r="L49" s="11">
        <f>'Sinusoidal Fit'!$K$3+'Sinusoidal Fit'!$J$3*H49+'Sinusoidal Fit'!$I$3*SIN(2*PI()*H49/'Sinusoidal Fit'!$B$2)+'Sinusoidal Fit'!$H$3*COS(2*PI()*H49/'Sinusoidal Fit'!$B$2)</f>
        <v>53.879653145757096</v>
      </c>
    </row>
    <row r="50" spans="8:12" x14ac:dyDescent="0.35">
      <c r="H50" s="11">
        <v>48</v>
      </c>
      <c r="I50" s="11">
        <f>IFERROR(INDEX('Training Data'!$B$4:$B$21,MATCH(H50,'Training Data'!$A$4:$A$21,0)),IFERROR(INDEX('Test Data'!$B$4:$B$9,MATCH(H50,'Test Data'!$A$4:$A$9,0)),INDEX('Extension Data'!$B$4:$B$39,MATCH(H50,'Extension Data'!$A$4:$A$39,0))))</f>
        <v>114.86</v>
      </c>
      <c r="J50" s="11">
        <f>'Quadratic Fit'!$J$3+'Quadratic Fit'!$I$3*H50+'Quadratic Fit'!$H$3*H50^2</f>
        <v>234.88141214088907</v>
      </c>
      <c r="K50" s="11">
        <f>'Exponential Fit'!$I$3*'Exponential Fit'!$H$3^H50</f>
        <v>334.61155897569034</v>
      </c>
      <c r="L50" s="11">
        <f>'Sinusoidal Fit'!$K$3+'Sinusoidal Fit'!$J$3*H50+'Sinusoidal Fit'!$I$3*SIN(2*PI()*H50/'Sinusoidal Fit'!$B$2)+'Sinusoidal Fit'!$H$3*COS(2*PI()*H50/'Sinusoidal Fit'!$B$2)</f>
        <v>50.258556840081738</v>
      </c>
    </row>
    <row r="51" spans="8:12" x14ac:dyDescent="0.35">
      <c r="H51" s="11">
        <v>49</v>
      </c>
      <c r="I51" s="11">
        <f>IFERROR(INDEX('Training Data'!$B$4:$B$21,MATCH(H51,'Training Data'!$A$4:$A$21,0)),IFERROR(INDEX('Test Data'!$B$4:$B$9,MATCH(H51,'Test Data'!$A$4:$A$9,0)),INDEX('Extension Data'!$B$4:$B$39,MATCH(H51,'Extension Data'!$A$4:$A$39,0))))</f>
        <v>113.48</v>
      </c>
      <c r="J51" s="11">
        <f>'Quadratic Fit'!$J$3+'Quadratic Fit'!$I$3*H51+'Quadratic Fit'!$H$3*H51^2</f>
        <v>243.72936176428601</v>
      </c>
      <c r="K51" s="11">
        <f>'Exponential Fit'!$I$3*'Exponential Fit'!$H$3^H51</f>
        <v>356.15382035624219</v>
      </c>
      <c r="L51" s="11">
        <f>'Sinusoidal Fit'!$K$3+'Sinusoidal Fit'!$J$3*H51+'Sinusoidal Fit'!$I$3*SIN(2*PI()*H51/'Sinusoidal Fit'!$B$2)+'Sinusoidal Fit'!$H$3*COS(2*PI()*H51/'Sinusoidal Fit'!$B$2)</f>
        <v>46.640747263968976</v>
      </c>
    </row>
    <row r="52" spans="8:12" x14ac:dyDescent="0.35">
      <c r="H52" s="11">
        <v>50</v>
      </c>
      <c r="I52" s="11">
        <f>IFERROR(INDEX('Training Data'!$B$4:$B$21,MATCH(H52,'Training Data'!$A$4:$A$21,0)),IFERROR(INDEX('Test Data'!$B$4:$B$9,MATCH(H52,'Test Data'!$A$4:$A$9,0)),INDEX('Extension Data'!$B$4:$B$39,MATCH(H52,'Extension Data'!$A$4:$A$39,0))))</f>
        <v>116.02</v>
      </c>
      <c r="J52" s="11">
        <f>'Quadratic Fit'!$J$3+'Quadratic Fit'!$I$3*H52+'Quadratic Fit'!$H$3*H52^2</f>
        <v>252.75504224264947</v>
      </c>
      <c r="K52" s="11">
        <f>'Exponential Fit'!$I$3*'Exponential Fit'!$H$3^H52</f>
        <v>379.08297054245452</v>
      </c>
      <c r="L52" s="11">
        <f>'Sinusoidal Fit'!$K$3+'Sinusoidal Fit'!$J$3*H52+'Sinusoidal Fit'!$I$3*SIN(2*PI()*H52/'Sinusoidal Fit'!$B$2)+'Sinusoidal Fit'!$H$3*COS(2*PI()*H52/'Sinusoidal Fit'!$B$2)</f>
        <v>43.064834470332457</v>
      </c>
    </row>
    <row r="53" spans="8:12" x14ac:dyDescent="0.35">
      <c r="H53" s="11">
        <v>51</v>
      </c>
      <c r="I53" s="11">
        <f>IFERROR(INDEX('Training Data'!$B$4:$B$21,MATCH(H53,'Training Data'!$A$4:$A$21,0)),IFERROR(INDEX('Test Data'!$B$4:$B$9,MATCH(H53,'Test Data'!$A$4:$A$9,0)),INDEX('Extension Data'!$B$4:$B$39,MATCH(H53,'Extension Data'!$A$4:$A$39,0))))</f>
        <v>112.52</v>
      </c>
      <c r="J53" s="11">
        <f>'Quadratic Fit'!$J$3+'Quadratic Fit'!$I$3*H53+'Quadratic Fit'!$H$3*H53^2</f>
        <v>261.95845357597943</v>
      </c>
      <c r="K53" s="11">
        <f>'Exponential Fit'!$I$3*'Exponential Fit'!$H$3^H53</f>
        <v>403.48829730803368</v>
      </c>
      <c r="L53" s="11">
        <f>'Sinusoidal Fit'!$K$3+'Sinusoidal Fit'!$J$3*H53+'Sinusoidal Fit'!$I$3*SIN(2*PI()*H53/'Sinusoidal Fit'!$B$2)+'Sinusoidal Fit'!$H$3*COS(2*PI()*H53/'Sinusoidal Fit'!$B$2)</f>
        <v>39.568969482169649</v>
      </c>
    </row>
    <row r="54" spans="8:12" x14ac:dyDescent="0.35">
      <c r="H54" s="11">
        <v>52</v>
      </c>
      <c r="I54" s="11">
        <f>IFERROR(INDEX('Training Data'!$B$4:$B$21,MATCH(H54,'Training Data'!$A$4:$A$21,0)),IFERROR(INDEX('Test Data'!$B$4:$B$9,MATCH(H54,'Test Data'!$A$4:$A$9,0)),INDEX('Extension Data'!$B$4:$B$39,MATCH(H54,'Extension Data'!$A$4:$A$39,0))))</f>
        <v>110.61</v>
      </c>
      <c r="J54" s="11">
        <f>'Quadratic Fit'!$J$3+'Quadratic Fit'!$I$3*H54+'Quadratic Fit'!$H$3*H54^2</f>
        <v>271.33959576427594</v>
      </c>
      <c r="K54" s="11">
        <f>'Exponential Fit'!$I$3*'Exponential Fit'!$H$3^H54</f>
        <v>429.46483676534194</v>
      </c>
      <c r="L54" s="11">
        <f>'Sinusoidal Fit'!$K$3+'Sinusoidal Fit'!$J$3*H54+'Sinusoidal Fit'!$I$3*SIN(2*PI()*H54/'Sinusoidal Fit'!$B$2)+'Sinusoidal Fit'!$H$3*COS(2*PI()*H54/'Sinusoidal Fit'!$B$2)</f>
        <v>36.190426301970035</v>
      </c>
    </row>
    <row r="55" spans="8:12" x14ac:dyDescent="0.35">
      <c r="H55" s="11">
        <v>53</v>
      </c>
      <c r="I55" s="11">
        <f>IFERROR(INDEX('Training Data'!$B$4:$B$21,MATCH(H55,'Training Data'!$A$4:$A$21,0)),IFERROR(INDEX('Test Data'!$B$4:$B$9,MATCH(H55,'Test Data'!$A$4:$A$9,0)),INDEX('Extension Data'!$B$4:$B$39,MATCH(H55,'Extension Data'!$A$4:$A$39,0))))</f>
        <v>114.93</v>
      </c>
      <c r="J55" s="11">
        <f>'Quadratic Fit'!$J$3+'Quadratic Fit'!$I$3*H55+'Quadratic Fit'!$H$3*H55^2</f>
        <v>280.89846880753902</v>
      </c>
      <c r="K55" s="11">
        <f>'Exponential Fit'!$I$3*'Exponential Fit'!$H$3^H55</f>
        <v>457.11374344291181</v>
      </c>
      <c r="L55" s="11">
        <f>'Sinusoidal Fit'!$K$3+'Sinusoidal Fit'!$J$3*H55+'Sinusoidal Fit'!$I$3*SIN(2*PI()*H55/'Sinusoidal Fit'!$B$2)+'Sinusoidal Fit'!$H$3*COS(2*PI()*H55/'Sinusoidal Fit'!$B$2)</f>
        <v>32.965193529944024</v>
      </c>
    </row>
    <row r="56" spans="8:12" x14ac:dyDescent="0.35">
      <c r="H56" s="11">
        <v>54</v>
      </c>
      <c r="I56" s="11">
        <f>IFERROR(INDEX('Training Data'!$B$4:$B$21,MATCH(H56,'Training Data'!$A$4:$A$21,0)),IFERROR(INDEX('Test Data'!$B$4:$B$9,MATCH(H56,'Test Data'!$A$4:$A$9,0)),INDEX('Extension Data'!$B$4:$B$39,MATCH(H56,'Extension Data'!$A$4:$A$39,0))))</f>
        <v>115.14</v>
      </c>
      <c r="J56" s="11">
        <f>'Quadratic Fit'!$J$3+'Quadratic Fit'!$I$3*H56+'Quadratic Fit'!$H$3*H56^2</f>
        <v>290.63507270576855</v>
      </c>
      <c r="K56" s="11">
        <f>'Exponential Fit'!$I$3*'Exponential Fit'!$H$3^H56</f>
        <v>486.54268418851558</v>
      </c>
      <c r="L56" s="11">
        <f>'Sinusoidal Fit'!$K$3+'Sinusoidal Fit'!$J$3*H56+'Sinusoidal Fit'!$I$3*SIN(2*PI()*H56/'Sinusoidal Fit'!$B$2)+'Sinusoidal Fit'!$H$3*COS(2*PI()*H56/'Sinusoidal Fit'!$B$2)</f>
        <v>29.927580065387708</v>
      </c>
    </row>
    <row r="57" spans="8:12" x14ac:dyDescent="0.35">
      <c r="H57" s="11">
        <v>55</v>
      </c>
      <c r="I57" s="11">
        <f>IFERROR(INDEX('Training Data'!$B$4:$B$21,MATCH(H57,'Training Data'!$A$4:$A$21,0)),IFERROR(INDEX('Test Data'!$B$4:$B$9,MATCH(H57,'Test Data'!$A$4:$A$9,0)),INDEX('Extension Data'!$B$4:$B$39,MATCH(H57,'Extension Data'!$A$4:$A$39,0))))</f>
        <v>113.17</v>
      </c>
      <c r="J57" s="11">
        <f>'Quadratic Fit'!$J$3+'Quadratic Fit'!$I$3*H57+'Quadratic Fit'!$H$3*H57^2</f>
        <v>300.54940745896465</v>
      </c>
      <c r="K57" s="11">
        <f>'Exponential Fit'!$I$3*'Exponential Fit'!$H$3^H57</f>
        <v>517.8662574316794</v>
      </c>
      <c r="L57" s="11">
        <f>'Sinusoidal Fit'!$K$3+'Sinusoidal Fit'!$J$3*H57+'Sinusoidal Fit'!$I$3*SIN(2*PI()*H57/'Sinusoidal Fit'!$B$2)+'Sinusoidal Fit'!$H$3*COS(2*PI()*H57/'Sinusoidal Fit'!$B$2)</f>
        <v>27.10983921120269</v>
      </c>
    </row>
    <row r="58" spans="8:12" x14ac:dyDescent="0.35">
      <c r="H58" s="11">
        <v>56</v>
      </c>
      <c r="I58" s="11">
        <f>IFERROR(INDEX('Training Data'!$B$4:$B$21,MATCH(H58,'Training Data'!$A$4:$A$21,0)),IFERROR(INDEX('Test Data'!$B$4:$B$9,MATCH(H58,'Test Data'!$A$4:$A$9,0)),INDEX('Extension Data'!$B$4:$B$39,MATCH(H58,'Extension Data'!$A$4:$A$39,0))))</f>
        <v>111.92</v>
      </c>
      <c r="J58" s="11">
        <f>'Quadratic Fit'!$J$3+'Quadratic Fit'!$I$3*H58+'Quadratic Fit'!$H$3*H58^2</f>
        <v>310.64147306712732</v>
      </c>
      <c r="K58" s="11">
        <f>'Exponential Fit'!$I$3*'Exponential Fit'!$H$3^H58</f>
        <v>551.20643943827838</v>
      </c>
      <c r="L58" s="11">
        <f>'Sinusoidal Fit'!$K$3+'Sinusoidal Fit'!$J$3*H58+'Sinusoidal Fit'!$I$3*SIN(2*PI()*H58/'Sinusoidal Fit'!$B$2)+'Sinusoidal Fit'!$H$3*COS(2*PI()*H58/'Sinusoidal Fit'!$B$2)</f>
        <v>24.541815299960113</v>
      </c>
    </row>
    <row r="59" spans="8:12" x14ac:dyDescent="0.35">
      <c r="H59" s="11">
        <v>57</v>
      </c>
      <c r="I59" s="11">
        <f>IFERROR(INDEX('Training Data'!$B$4:$B$21,MATCH(H59,'Training Data'!$A$4:$A$21,0)),IFERROR(INDEX('Test Data'!$B$4:$B$9,MATCH(H59,'Test Data'!$A$4:$A$9,0)),INDEX('Extension Data'!$B$4:$B$39,MATCH(H59,'Extension Data'!$A$4:$A$39,0))))</f>
        <v>115.37</v>
      </c>
      <c r="J59" s="11">
        <f>'Quadratic Fit'!$J$3+'Quadratic Fit'!$I$3*H59+'Quadratic Fit'!$H$3*H59^2</f>
        <v>320.91126953025639</v>
      </c>
      <c r="K59" s="11">
        <f>'Exponential Fit'!$I$3*'Exponential Fit'!$H$3^H59</f>
        <v>586.69305929496227</v>
      </c>
      <c r="L59" s="11">
        <f>'Sinusoidal Fit'!$K$3+'Sinusoidal Fit'!$J$3*H59+'Sinusoidal Fit'!$I$3*SIN(2*PI()*H59/'Sinusoidal Fit'!$B$2)+'Sinusoidal Fit'!$H$3*COS(2*PI()*H59/'Sinusoidal Fit'!$B$2)</f>
        <v>22.250616713147529</v>
      </c>
    </row>
    <row r="60" spans="8:12" x14ac:dyDescent="0.35">
      <c r="H60" s="11">
        <v>58</v>
      </c>
      <c r="I60" s="11">
        <f>IFERROR(INDEX('Training Data'!$B$4:$B$21,MATCH(H60,'Training Data'!$A$4:$A$21,0)),IFERROR(INDEX('Test Data'!$B$4:$B$9,MATCH(H60,'Test Data'!$A$4:$A$9,0)),INDEX('Extension Data'!$B$4:$B$39,MATCH(H60,'Extension Data'!$A$4:$A$39,0))))</f>
        <v>108.04</v>
      </c>
      <c r="J60" s="11">
        <f>'Quadratic Fit'!$J$3+'Quadratic Fit'!$I$3*H60+'Quadratic Fit'!$H$3*H60^2</f>
        <v>331.35879684835209</v>
      </c>
      <c r="K60" s="11">
        <f>'Exponential Fit'!$I$3*'Exponential Fit'!$H$3^H60</f>
        <v>624.46430447303408</v>
      </c>
      <c r="L60" s="11">
        <f>'Sinusoidal Fit'!$K$3+'Sinusoidal Fit'!$J$3*H60+'Sinusoidal Fit'!$I$3*SIN(2*PI()*H60/'Sinusoidal Fit'!$B$2)+'Sinusoidal Fit'!$H$3*COS(2*PI()*H60/'Sinusoidal Fit'!$B$2)</f>
        <v>20.260318876068656</v>
      </c>
    </row>
    <row r="61" spans="8:12" x14ac:dyDescent="0.35">
      <c r="H61" s="11">
        <v>59</v>
      </c>
      <c r="I61" s="11">
        <f>IFERROR(INDEX('Training Data'!$B$4:$B$21,MATCH(H61,'Training Data'!$A$4:$A$21,0)),IFERROR(INDEX('Test Data'!$B$4:$B$9,MATCH(H61,'Test Data'!$A$4:$A$9,0)),INDEX('Extension Data'!$B$4:$B$39,MATCH(H61,'Extension Data'!$A$4:$A$39,0))))</f>
        <v>118.27</v>
      </c>
      <c r="J61" s="11">
        <f>'Quadratic Fit'!$J$3+'Quadratic Fit'!$I$3*H61+'Quadratic Fit'!$H$3*H61^2</f>
        <v>341.98405502141424</v>
      </c>
      <c r="K61" s="11">
        <f>'Exponential Fit'!$I$3*'Exponential Fit'!$H$3^H61</f>
        <v>664.66725894048545</v>
      </c>
      <c r="L61" s="11">
        <f>'Sinusoidal Fit'!$K$3+'Sinusoidal Fit'!$J$3*H61+'Sinusoidal Fit'!$I$3*SIN(2*PI()*H61/'Sinusoidal Fit'!$B$2)+'Sinusoidal Fit'!$H$3*COS(2*PI()*H61/'Sinusoidal Fit'!$B$2)</f>
        <v>18.591700482445589</v>
      </c>
    </row>
    <row r="62" spans="8:12" x14ac:dyDescent="0.35">
      <c r="H62" s="11">
        <v>60</v>
      </c>
      <c r="I62" s="11">
        <f>IFERROR(INDEX('Training Data'!$B$4:$B$21,MATCH(H62,'Training Data'!$A$4:$A$21,0)),IFERROR(INDEX('Test Data'!$B$4:$B$9,MATCH(H62,'Test Data'!$A$4:$A$9,0)),INDEX('Extension Data'!$B$4:$B$39,MATCH(H62,'Extension Data'!$A$4:$A$39,0))))</f>
        <v>118.72</v>
      </c>
      <c r="J62" s="11">
        <f>'Quadratic Fit'!$J$3+'Quadratic Fit'!$I$3*H62+'Quadratic Fit'!$H$3*H62^2</f>
        <v>352.78704404944301</v>
      </c>
      <c r="K62" s="11">
        <f>'Exponential Fit'!$I$3*'Exponential Fit'!$H$3^H62</f>
        <v>707.45847591763436</v>
      </c>
      <c r="L62" s="11">
        <f>'Sinusoidal Fit'!$K$3+'Sinusoidal Fit'!$J$3*H62+'Sinusoidal Fit'!$I$3*SIN(2*PI()*H62/'Sinusoidal Fit'!$B$2)+'Sinusoidal Fit'!$H$3*COS(2*PI()*H62/'Sinusoidal Fit'!$B$2)</f>
        <v>17.262015838702197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topLeftCell="A7" zoomScaleNormal="100" workbookViewId="0">
      <selection sqref="A1:B1"/>
    </sheetView>
  </sheetViews>
  <sheetFormatPr defaultColWidth="8.6328125" defaultRowHeight="14.5" x14ac:dyDescent="0.35"/>
  <cols>
    <col min="1" max="1" width="22" customWidth="1"/>
    <col min="2" max="2" width="100" customWidth="1"/>
  </cols>
  <sheetData>
    <row r="1" spans="1:2" ht="18" x14ac:dyDescent="0.4">
      <c r="A1" s="2" t="s">
        <v>65</v>
      </c>
      <c r="B1" s="2"/>
    </row>
    <row r="3" spans="1:2" ht="48" customHeight="1" x14ac:dyDescent="0.35">
      <c r="A3" s="1" t="s">
        <v>66</v>
      </c>
      <c r="B3" s="1"/>
    </row>
    <row r="5" spans="1:2" x14ac:dyDescent="0.35">
      <c r="A5" s="14" t="s">
        <v>56</v>
      </c>
      <c r="B5" s="15" t="s">
        <v>67</v>
      </c>
    </row>
    <row r="6" spans="1:2" ht="90" customHeight="1" x14ac:dyDescent="0.35">
      <c r="A6" s="16" t="s">
        <v>58</v>
      </c>
      <c r="B6" s="13" t="s">
        <v>68</v>
      </c>
    </row>
    <row r="7" spans="1:2" ht="90" customHeight="1" x14ac:dyDescent="0.35">
      <c r="A7" s="16" t="s">
        <v>59</v>
      </c>
      <c r="B7" s="13" t="s">
        <v>69</v>
      </c>
    </row>
    <row r="8" spans="1:2" ht="90" customHeight="1" x14ac:dyDescent="0.35">
      <c r="A8" s="16" t="s">
        <v>60</v>
      </c>
      <c r="B8" s="13" t="s">
        <v>70</v>
      </c>
    </row>
    <row r="9" spans="1:2" ht="90" customHeight="1" x14ac:dyDescent="0.35">
      <c r="A9" s="16" t="s">
        <v>61</v>
      </c>
      <c r="B9" s="13" t="s">
        <v>71</v>
      </c>
    </row>
    <row r="11" spans="1:2" x14ac:dyDescent="0.35">
      <c r="A11" s="9" t="s">
        <v>72</v>
      </c>
    </row>
    <row r="12" spans="1:2" ht="60" customHeight="1" x14ac:dyDescent="0.35">
      <c r="A12" s="1" t="s">
        <v>73</v>
      </c>
      <c r="B12" s="1"/>
    </row>
  </sheetData>
  <mergeCells count="3">
    <mergeCell ref="A1:B1"/>
    <mergeCell ref="A3:B3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Training Data</vt:lpstr>
      <vt:lpstr>Test Data</vt:lpstr>
      <vt:lpstr>Extension Data</vt:lpstr>
      <vt:lpstr>Quadratic Fit</vt:lpstr>
      <vt:lpstr>Polynomial Fit</vt:lpstr>
      <vt:lpstr>Exponential Fit</vt:lpstr>
      <vt:lpstr>Sinusoidal Fit</vt:lpstr>
      <vt:lpstr>Model Comparison</vt:lpstr>
      <vt:lpstr>Instructor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Whisnant, Hannah CPT</cp:lastModifiedBy>
  <cp:revision>1</cp:revision>
  <dcterms:created xsi:type="dcterms:W3CDTF">2026-07-16T20:17:01Z</dcterms:created>
  <dcterms:modified xsi:type="dcterms:W3CDTF">2026-07-17T14:38:02Z</dcterms:modified>
  <dc:language>en-US</dc:language>
</cp:coreProperties>
</file>